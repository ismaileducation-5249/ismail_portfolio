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 ISMAIL\Desktop\My Portfolio Fiverr\portfolio_demos\"/>
    </mc:Choice>
  </mc:AlternateContent>
  <xr:revisionPtr revIDLastSave="0" documentId="8_{E5EB317B-BA17-4294-8F2E-3A6EAF64ED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shboard" sheetId="1" r:id="rId1"/>
    <sheet name="Sales Data" sheetId="2" r:id="rId2"/>
    <sheet name="Product Summary" sheetId="3" r:id="rId3"/>
  </sheets>
  <definedNames>
    <definedName name="_xlnm._FilterDatabase" localSheetId="1" hidden="1">'Sales Data'!$A$1:$I$97</definedName>
    <definedName name="_xlnm.Print_Area" localSheetId="0">Dashboard!$B$2:$L$36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C9" i="3"/>
  <c r="C8" i="3"/>
  <c r="C7" i="3"/>
  <c r="C6" i="3"/>
  <c r="C5" i="3"/>
  <c r="C4" i="3"/>
  <c r="C3" i="3"/>
  <c r="C2" i="3"/>
  <c r="I2" i="2"/>
  <c r="C16" i="1" s="1"/>
  <c r="H19" i="1"/>
  <c r="H18" i="1"/>
  <c r="H17" i="1"/>
  <c r="H16" i="1"/>
  <c r="H15" i="1"/>
  <c r="H14" i="1"/>
  <c r="C14" i="1"/>
  <c r="H13" i="1"/>
  <c r="H12" i="1"/>
  <c r="H6" i="1"/>
  <c r="E6" i="1"/>
  <c r="C15" i="1" l="1"/>
  <c r="C12" i="1"/>
  <c r="C18" i="1"/>
  <c r="C19" i="1"/>
  <c r="D5" i="3"/>
  <c r="I15" i="1" s="1"/>
  <c r="F14" i="1"/>
  <c r="C13" i="1"/>
  <c r="C17" i="1"/>
  <c r="D7" i="3"/>
  <c r="I17" i="1" s="1"/>
  <c r="D3" i="3"/>
  <c r="I13" i="1" s="1"/>
  <c r="D2" i="3"/>
  <c r="I12" i="1" s="1"/>
  <c r="F15" i="1"/>
  <c r="B6" i="1"/>
  <c r="F13" i="1"/>
  <c r="D8" i="3"/>
  <c r="I18" i="1" s="1"/>
  <c r="D6" i="3"/>
  <c r="I16" i="1" s="1"/>
  <c r="D4" i="3"/>
  <c r="I14" i="1" s="1"/>
  <c r="F12" i="1"/>
  <c r="D9" i="3"/>
  <c r="I19" i="1" s="1"/>
  <c r="K6" i="1"/>
</calcChain>
</file>

<file path=xl/sharedStrings.xml><?xml version="1.0" encoding="utf-8"?>
<sst xmlns="http://schemas.openxmlformats.org/spreadsheetml/2006/main" count="540" uniqueCount="146">
  <si>
    <t>SALES PERFORMANCE DASHBOARD</t>
  </si>
  <si>
    <t>Business Intelligence • January – August 2026</t>
  </si>
  <si>
    <t>TOTAL REVENUE</t>
  </si>
  <si>
    <t>TOTAL ORDERS</t>
  </si>
  <si>
    <t>UNITS SOLD</t>
  </si>
  <si>
    <t>AVG. ORDER VALUE</t>
  </si>
  <si>
    <t>MONTHLY REVENUE</t>
  </si>
  <si>
    <t>REGIONAL SALES</t>
  </si>
  <si>
    <t>TOP PRODUCTS</t>
  </si>
  <si>
    <t>FILTER</t>
  </si>
  <si>
    <t>Month</t>
  </si>
  <si>
    <t>Revenue</t>
  </si>
  <si>
    <t>Region</t>
  </si>
  <si>
    <t>Product</t>
  </si>
  <si>
    <t>Jan</t>
  </si>
  <si>
    <t>North</t>
  </si>
  <si>
    <t>Feb</t>
  </si>
  <si>
    <t>South</t>
  </si>
  <si>
    <t>Use Sales Data sheet filters for detailed analysis.</t>
  </si>
  <si>
    <t>Mar</t>
  </si>
  <si>
    <t>East</t>
  </si>
  <si>
    <t>Apr</t>
  </si>
  <si>
    <t>West</t>
  </si>
  <si>
    <t>May</t>
  </si>
  <si>
    <t>Jun</t>
  </si>
  <si>
    <t>Jul</t>
  </si>
  <si>
    <t>Aug</t>
  </si>
  <si>
    <t>Order ID</t>
  </si>
  <si>
    <t>Date</t>
  </si>
  <si>
    <t>Salesperson</t>
  </si>
  <si>
    <t>Category</t>
  </si>
  <si>
    <t>Units</t>
  </si>
  <si>
    <t>Unit Price</t>
  </si>
  <si>
    <t>ORD-1001</t>
  </si>
  <si>
    <t>Bilal</t>
  </si>
  <si>
    <t>Wireless Headphones</t>
  </si>
  <si>
    <t>Electronics</t>
  </si>
  <si>
    <t>ORD-1002</t>
  </si>
  <si>
    <t>Usman</t>
  </si>
  <si>
    <t>Smart Monitor</t>
  </si>
  <si>
    <t>ORD-1003</t>
  </si>
  <si>
    <t>Ayesha</t>
  </si>
  <si>
    <t>ORD-1004</t>
  </si>
  <si>
    <t>ORD-1005</t>
  </si>
  <si>
    <t>Sara</t>
  </si>
  <si>
    <t>ORD-1006</t>
  </si>
  <si>
    <t>Desk Lamp</t>
  </si>
  <si>
    <t>Office</t>
  </si>
  <si>
    <t>ORD-1007</t>
  </si>
  <si>
    <t>Hamza</t>
  </si>
  <si>
    <t>Mechanical Keyboard</t>
  </si>
  <si>
    <t>ORD-1008</t>
  </si>
  <si>
    <t>ORD-1009</t>
  </si>
  <si>
    <t>ORD-1010</t>
  </si>
  <si>
    <t>ORD-1011</t>
  </si>
  <si>
    <t>ORD-1012</t>
  </si>
  <si>
    <t>ORD-1013</t>
  </si>
  <si>
    <t>Standing Desk</t>
  </si>
  <si>
    <t>Furniture</t>
  </si>
  <si>
    <t>ORD-1014</t>
  </si>
  <si>
    <t>ORD-1015</t>
  </si>
  <si>
    <t>Office Chair</t>
  </si>
  <si>
    <t>ORD-1016</t>
  </si>
  <si>
    <t>Webcam Pro</t>
  </si>
  <si>
    <t>ORD-1017</t>
  </si>
  <si>
    <t>Pro Laptop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</si>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</sst>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mmm\ d\,\ yyyy"/>
    <numFmt numFmtId="166" formatCode="\$#,##0.00"/>
    <numFmt numFmtId="167" formatCode="\$#,##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4"/>
      <color rgb="FFFFFFFF"/>
      <name val="Calibri"/>
    </font>
    <font>
      <sz val="11"/>
      <color rgb="FF667085"/>
      <name val="Calibri"/>
    </font>
    <font>
      <b/>
      <sz val="10"/>
      <color rgb="FFFFFFFF"/>
      <name val="Calibri"/>
    </font>
    <font>
      <b/>
      <sz val="22"/>
      <color rgb="FF12233F"/>
      <name val="Calibri"/>
    </font>
    <font>
      <b/>
      <sz val="14"/>
      <color rgb="FF12233F"/>
      <name val="Calibri"/>
    </font>
    <font>
      <i/>
      <sz val="9"/>
      <color rgb="FF667085"/>
      <name val="Calibri"/>
    </font>
    <font>
      <b/>
      <sz val="11"/>
      <color rgb="FF667085"/>
      <name val="Calibri"/>
    </font>
    <font>
      <sz val="9"/>
      <color rgb="FF667085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2233F"/>
      </patternFill>
    </fill>
    <fill>
      <patternFill patternType="solid">
        <fgColor rgb="FF2F80ED"/>
      </patternFill>
    </fill>
    <fill>
      <patternFill patternType="solid">
        <fgColor rgb="FFEAF3FF"/>
      </patternFill>
    </fill>
    <fill>
      <patternFill patternType="solid">
        <fgColor rgb="FFF4F6F8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>
      <left style="thin">
        <color rgb="FFD9E1EA"/>
      </left>
      <right style="thin">
        <color rgb="FFD9E1EA"/>
      </right>
      <top/>
      <bottom style="thin">
        <color rgb="FFD9E1EA"/>
      </bottom>
      <diagonal/>
    </border>
    <border>
      <left/>
      <right/>
      <top/>
      <bottom style="hair">
        <color rgb="FFD9E1EA"/>
      </bottom>
      <diagonal/>
    </border>
    <border>
      <left/>
      <right/>
      <top style="thin">
        <color theme="1"/>
      </top>
      <bottom style="thin">
        <color rgb="FFD9E1EA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29">
    <xf numFmtId="0" fontId="0" fillId="0" borderId="0" xfId="0"/>
    <xf numFmtId="0" fontId="6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/>
    <xf numFmtId="0" fontId="8" fillId="0" borderId="0" xfId="0" applyFont="1"/>
    <xf numFmtId="0" fontId="0" fillId="4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9" fillId="0" borderId="0" xfId="0" applyFont="1" applyAlignment="1">
      <alignment vertical="top" wrapText="1"/>
    </xf>
    <xf numFmtId="0" fontId="0" fillId="0" borderId="0" xfId="0"/>
    <xf numFmtId="3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4" fillId="3" borderId="2" xfId="0" applyFont="1" applyFill="1" applyBorder="1" applyAlignment="1">
      <alignment horizontal="center" vertical="center"/>
    </xf>
    <xf numFmtId="0" fontId="0" fillId="0" borderId="2" xfId="0" applyBorder="1"/>
    <xf numFmtId="167" fontId="5" fillId="4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0" fillId="0" borderId="5" xfId="0" applyBorder="1"/>
    <xf numFmtId="44" fontId="0" fillId="0" borderId="0" xfId="1" applyFont="1"/>
    <xf numFmtId="0" fontId="0" fillId="0" borderId="6" xfId="0" applyBorder="1"/>
    <xf numFmtId="167" fontId="0" fillId="0" borderId="6" xfId="0" applyNumberFormat="1" applyBorder="1"/>
    <xf numFmtId="0" fontId="1" fillId="2" borderId="0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167" fontId="0" fillId="0" borderId="6" xfId="0" applyNumberFormat="1" applyBorder="1" applyAlignment="1">
      <alignment vertical="center"/>
    </xf>
    <xf numFmtId="0" fontId="0" fillId="5" borderId="6" xfId="0" applyFill="1" applyBorder="1" applyAlignment="1">
      <alignment vertical="center"/>
    </xf>
    <xf numFmtId="167" fontId="0" fillId="6" borderId="6" xfId="0" applyNumberForma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Dashboard!$C$11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Dashboard!$B$12:$B$19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Dashboard!$C$12:$C$19</c:f>
              <c:numCache>
                <c:formatCode>\$#,##0</c:formatCode>
                <c:ptCount val="8"/>
                <c:pt idx="0">
                  <c:v>6443</c:v>
                </c:pt>
                <c:pt idx="1">
                  <c:v>9184</c:v>
                </c:pt>
                <c:pt idx="2">
                  <c:v>12830</c:v>
                </c:pt>
                <c:pt idx="3">
                  <c:v>9736</c:v>
                </c:pt>
                <c:pt idx="4">
                  <c:v>17709</c:v>
                </c:pt>
                <c:pt idx="5">
                  <c:v>5358</c:v>
                </c:pt>
                <c:pt idx="6">
                  <c:v>12237</c:v>
                </c:pt>
                <c:pt idx="7">
                  <c:v>4309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6A-4B3B-8C30-E87216E97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Dashboard!$F$11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Dashboard!$E$12:$E$15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Dashboard!$F$12:$F$15</c:f>
              <c:numCache>
                <c:formatCode>\$#,##0</c:formatCode>
                <c:ptCount val="4"/>
                <c:pt idx="0">
                  <c:v>21286</c:v>
                </c:pt>
                <c:pt idx="1">
                  <c:v>16458</c:v>
                </c:pt>
                <c:pt idx="2">
                  <c:v>14362</c:v>
                </c:pt>
                <c:pt idx="3">
                  <c:v>25700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8-4EF9-9F39-96DA9694F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6"/>
  <sheetViews>
    <sheetView tabSelected="1" workbookViewId="0">
      <pane ySplit="4" topLeftCell="A24" activePane="bottomLeft" state="frozen"/>
      <selection pane="bottomLeft" activeCell="B12" sqref="B12:C19"/>
    </sheetView>
  </sheetViews>
  <sheetFormatPr defaultRowHeight="14.5" x14ac:dyDescent="0.35"/>
  <cols>
    <col min="1" max="1" width="3" customWidth="1"/>
    <col min="2" max="3" width="19" customWidth="1"/>
    <col min="4" max="4" width="3" customWidth="1"/>
    <col min="5" max="6" width="19" customWidth="1"/>
    <col min="7" max="7" width="3" customWidth="1"/>
    <col min="8" max="9" width="19" customWidth="1"/>
    <col min="10" max="10" width="3" customWidth="1"/>
    <col min="11" max="12" width="19" customWidth="1"/>
  </cols>
  <sheetData>
    <row r="2" spans="2:12" ht="42" customHeight="1" x14ac:dyDescent="0.35">
      <c r="B2" s="18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2:12" ht="24" customHeight="1" x14ac:dyDescent="0.35">
      <c r="B3" s="17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2:12" x14ac:dyDescent="0.35">
      <c r="E4" s="20"/>
    </row>
    <row r="5" spans="2:12" x14ac:dyDescent="0.35">
      <c r="B5" s="14" t="s">
        <v>2</v>
      </c>
      <c r="C5" s="15"/>
      <c r="E5" s="14" t="s">
        <v>3</v>
      </c>
      <c r="F5" s="15"/>
      <c r="H5" s="14" t="s">
        <v>4</v>
      </c>
      <c r="I5" s="15"/>
      <c r="K5" s="14" t="s">
        <v>5</v>
      </c>
      <c r="L5" s="15"/>
    </row>
    <row r="6" spans="2:12" x14ac:dyDescent="0.35">
      <c r="B6" s="16">
        <f>SUM('Sales Data'!I:I)</f>
        <v>77806</v>
      </c>
      <c r="C6" s="13"/>
      <c r="E6" s="12">
        <f>COUNTA('Sales Data'!A:A)-1</f>
        <v>96</v>
      </c>
      <c r="F6" s="13"/>
      <c r="H6" s="12">
        <f>SUM('Sales Data'!G:G)</f>
        <v>284</v>
      </c>
      <c r="I6" s="13"/>
      <c r="K6" s="16">
        <f>SUM('Sales Data'!I:I)/(COUNTA('Sales Data'!A:A)-1)</f>
        <v>810.47916666666663</v>
      </c>
      <c r="L6" s="13"/>
    </row>
    <row r="7" spans="2:12" x14ac:dyDescent="0.35">
      <c r="B7" s="13"/>
      <c r="C7" s="13"/>
      <c r="E7" s="13"/>
      <c r="F7" s="13"/>
      <c r="H7" s="13"/>
      <c r="I7" s="13"/>
      <c r="K7" s="13"/>
      <c r="L7" s="13"/>
    </row>
    <row r="10" spans="2:12" ht="18.5" x14ac:dyDescent="0.45">
      <c r="B10" s="1" t="s">
        <v>6</v>
      </c>
      <c r="C10" s="2"/>
      <c r="D10" s="2"/>
      <c r="E10" s="1" t="s">
        <v>7</v>
      </c>
      <c r="F10" s="2"/>
      <c r="G10" s="2"/>
      <c r="H10" s="1" t="s">
        <v>8</v>
      </c>
      <c r="I10" s="2"/>
      <c r="K10" s="3" t="s">
        <v>9</v>
      </c>
    </row>
    <row r="11" spans="2:12" x14ac:dyDescent="0.35">
      <c r="B11" s="24" t="s">
        <v>10</v>
      </c>
      <c r="C11" s="24" t="s">
        <v>11</v>
      </c>
      <c r="D11" s="2"/>
      <c r="E11" s="24" t="s">
        <v>12</v>
      </c>
      <c r="F11" s="24" t="s">
        <v>11</v>
      </c>
      <c r="G11" s="2"/>
      <c r="H11" s="24" t="s">
        <v>13</v>
      </c>
      <c r="I11" s="24" t="s">
        <v>11</v>
      </c>
      <c r="K11" s="4" t="s">
        <v>12</v>
      </c>
    </row>
    <row r="12" spans="2:12" x14ac:dyDescent="0.35">
      <c r="B12" s="27" t="s">
        <v>14</v>
      </c>
      <c r="C12" s="28">
        <f>SUMPRODUCT((MONTH('Sales Data'!$B$2:$B$97)=1)*('Sales Data'!$I$2:$I$97))</f>
        <v>6443</v>
      </c>
      <c r="D12" s="2"/>
      <c r="E12" s="25" t="s">
        <v>15</v>
      </c>
      <c r="F12" s="26">
        <f>SUMIF('Sales Data'!C:C,E12,'Sales Data'!I:I)</f>
        <v>21286</v>
      </c>
      <c r="G12" s="2"/>
      <c r="H12" s="25" t="str">
        <f>'Product Summary'!A2</f>
        <v>Pro Laptop</v>
      </c>
      <c r="I12" s="26">
        <f>'Product Summary'!D2</f>
        <v>29667</v>
      </c>
      <c r="K12" s="5" t="s">
        <v>22</v>
      </c>
    </row>
    <row r="13" spans="2:12" x14ac:dyDescent="0.35">
      <c r="B13" s="27" t="s">
        <v>16</v>
      </c>
      <c r="C13" s="28">
        <f>SUMPRODUCT((MONTH('Sales Data'!$B$2:$B$97)=2)*('Sales Data'!$I$2:$I$97))</f>
        <v>9184</v>
      </c>
      <c r="D13" s="2"/>
      <c r="E13" s="25" t="s">
        <v>17</v>
      </c>
      <c r="F13" s="26">
        <f>SUMIF('Sales Data'!C:C,E13,'Sales Data'!I:I)</f>
        <v>16458</v>
      </c>
      <c r="G13" s="2"/>
      <c r="H13" s="25" t="str">
        <f>'Product Summary'!A3</f>
        <v>Wireless Headphones</v>
      </c>
      <c r="I13" s="26">
        <f>'Product Summary'!D3</f>
        <v>5418</v>
      </c>
      <c r="K13" s="10" t="s">
        <v>18</v>
      </c>
      <c r="L13" s="11"/>
    </row>
    <row r="14" spans="2:12" x14ac:dyDescent="0.35">
      <c r="B14" s="27" t="s">
        <v>19</v>
      </c>
      <c r="C14" s="28">
        <f>SUMPRODUCT((MONTH('Sales Data'!$B$2:$B$97)=3)*('Sales Data'!$I$2:$I$97))</f>
        <v>12830</v>
      </c>
      <c r="D14" s="2"/>
      <c r="E14" s="25" t="s">
        <v>20</v>
      </c>
      <c r="F14" s="26">
        <f>SUMIF('Sales Data'!C:C,E14,'Sales Data'!I:I)</f>
        <v>14362</v>
      </c>
      <c r="G14" s="2"/>
      <c r="H14" s="25" t="str">
        <f>'Product Summary'!A4</f>
        <v>Office Chair</v>
      </c>
      <c r="I14" s="26">
        <f>'Product Summary'!D4</f>
        <v>6723</v>
      </c>
      <c r="K14" s="11"/>
      <c r="L14" s="11"/>
    </row>
    <row r="15" spans="2:12" x14ac:dyDescent="0.35">
      <c r="B15" s="27" t="s">
        <v>21</v>
      </c>
      <c r="C15" s="28">
        <f>SUMPRODUCT((MONTH('Sales Data'!$B$2:$B$97)=4)*('Sales Data'!$I$2:$I$97))</f>
        <v>9736</v>
      </c>
      <c r="D15" s="2"/>
      <c r="E15" s="25" t="s">
        <v>22</v>
      </c>
      <c r="F15" s="26">
        <f>SUMIF('Sales Data'!C:C,E15,'Sales Data'!I:I)</f>
        <v>25700</v>
      </c>
      <c r="G15" s="2"/>
      <c r="H15" s="25" t="str">
        <f>'Product Summary'!A5</f>
        <v>Smart Monitor</v>
      </c>
      <c r="I15" s="26">
        <f>'Product Summary'!D5</f>
        <v>15463</v>
      </c>
    </row>
    <row r="16" spans="2:12" x14ac:dyDescent="0.35">
      <c r="B16" s="27" t="s">
        <v>23</v>
      </c>
      <c r="C16" s="28">
        <f>SUMPRODUCT((MONTH('Sales Data'!$B$2:$B$97)=5)*('Sales Data'!$I$2:$I$97))</f>
        <v>17709</v>
      </c>
      <c r="D16" s="2"/>
      <c r="E16" s="2"/>
      <c r="F16" s="2"/>
      <c r="G16" s="2"/>
      <c r="H16" s="25" t="str">
        <f>'Product Summary'!A6</f>
        <v>Desk Lamp</v>
      </c>
      <c r="I16" s="26">
        <f>'Product Summary'!D6</f>
        <v>2360</v>
      </c>
    </row>
    <row r="17" spans="2:9" x14ac:dyDescent="0.35">
      <c r="B17" s="27" t="s">
        <v>24</v>
      </c>
      <c r="C17" s="28">
        <f>SUMPRODUCT((MONTH('Sales Data'!$B$2:$B$97)=6)*('Sales Data'!$I$2:$I$97))</f>
        <v>5358</v>
      </c>
      <c r="D17" s="2"/>
      <c r="E17" s="2"/>
      <c r="F17" s="2"/>
      <c r="G17" s="2"/>
      <c r="H17" s="25" t="str">
        <f>'Product Summary'!A7</f>
        <v>Mechanical Keyboard</v>
      </c>
      <c r="I17" s="26">
        <f>'Product Summary'!D7</f>
        <v>3924</v>
      </c>
    </row>
    <row r="18" spans="2:9" x14ac:dyDescent="0.35">
      <c r="B18" s="27" t="s">
        <v>25</v>
      </c>
      <c r="C18" s="28">
        <f>SUMPRODUCT((MONTH('Sales Data'!$B$2:$B$97)=7)*('Sales Data'!$I$2:$I$97))</f>
        <v>12237</v>
      </c>
      <c r="D18" s="2"/>
      <c r="E18" s="2"/>
      <c r="F18" s="2"/>
      <c r="G18" s="2"/>
      <c r="H18" s="25" t="str">
        <f>'Product Summary'!A8</f>
        <v>Standing Desk</v>
      </c>
      <c r="I18" s="26">
        <f>'Product Summary'!D8</f>
        <v>11225</v>
      </c>
    </row>
    <row r="19" spans="2:9" x14ac:dyDescent="0.35">
      <c r="B19" s="27" t="s">
        <v>26</v>
      </c>
      <c r="C19" s="28">
        <f>SUMPRODUCT((MONTH('Sales Data'!$B$2:$B$97)=8)*('Sales Data'!$I$2:$I$97))</f>
        <v>4309</v>
      </c>
      <c r="D19" s="2"/>
      <c r="E19" s="2"/>
      <c r="F19" s="2"/>
      <c r="G19" s="2"/>
      <c r="H19" s="25" t="str">
        <f>'Product Summary'!A9</f>
        <v>Webcam Pro</v>
      </c>
      <c r="I19" s="26">
        <f>'Product Summary'!D9</f>
        <v>3026</v>
      </c>
    </row>
    <row r="36" spans="2:12" x14ac:dyDescent="0.35">
      <c r="B36" s="19"/>
      <c r="C36" s="11"/>
      <c r="D36" s="11"/>
      <c r="E36" s="11"/>
      <c r="F36" s="11"/>
      <c r="G36" s="11"/>
      <c r="H36" s="11"/>
      <c r="I36" s="11"/>
      <c r="J36" s="11"/>
      <c r="K36" s="11"/>
      <c r="L36" s="11"/>
    </row>
  </sheetData>
  <mergeCells count="12">
    <mergeCell ref="B36:L36"/>
    <mergeCell ref="B3:L3"/>
    <mergeCell ref="B2:L2"/>
    <mergeCell ref="E5:F5"/>
    <mergeCell ref="K5:L5"/>
    <mergeCell ref="B6:C7"/>
    <mergeCell ref="H5:I5"/>
    <mergeCell ref="K13:L14"/>
    <mergeCell ref="E6:F7"/>
    <mergeCell ref="H6:I7"/>
    <mergeCell ref="B5:C5"/>
    <mergeCell ref="K6:L7"/>
  </mergeCells>
  <conditionalFormatting sqref="C12:C19">
    <cfRule type="colorScale" priority="1">
      <colorScale>
        <cfvo type="min"/>
        <cfvo type="percentile" val="50"/>
        <cfvo type="max"/>
        <color rgb="FFF4F6F8"/>
        <color rgb="FFBBD8FF"/>
        <color rgb="FF2F80ED"/>
      </colorScale>
    </cfRule>
  </conditionalFormatting>
  <dataValidations count="1">
    <dataValidation type="list" sqref="K12" xr:uid="{00000000-0002-0000-0000-000000000000}">
      <formula1>"All Regions,North,South,East,West"</formula1>
    </dataValidation>
  </dataValidations>
  <pageMargins left="0.25" right="0.25" top="0.4" bottom="0.4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7"/>
  <sheetViews>
    <sheetView workbookViewId="0">
      <pane ySplit="1" topLeftCell="A2" activePane="bottomLeft" state="frozen"/>
      <selection pane="bottomLeft" activeCell="K6" sqref="K6"/>
    </sheetView>
  </sheetViews>
  <sheetFormatPr defaultRowHeight="14.5" x14ac:dyDescent="0.35"/>
  <cols>
    <col min="1" max="2" width="14" customWidth="1"/>
    <col min="3" max="3" width="12" customWidth="1"/>
    <col min="4" max="4" width="14" customWidth="1"/>
    <col min="5" max="5" width="24" customWidth="1"/>
    <col min="6" max="6" width="15" customWidth="1"/>
    <col min="7" max="7" width="10" customWidth="1"/>
    <col min="8" max="8" width="14" customWidth="1"/>
    <col min="9" max="9" width="15" customWidth="1"/>
  </cols>
  <sheetData>
    <row r="1" spans="1:9" x14ac:dyDescent="0.35">
      <c r="A1" s="6" t="s">
        <v>27</v>
      </c>
      <c r="B1" s="6" t="s">
        <v>28</v>
      </c>
      <c r="C1" s="6" t="s">
        <v>12</v>
      </c>
      <c r="D1" s="6" t="s">
        <v>29</v>
      </c>
      <c r="E1" s="6" t="s">
        <v>13</v>
      </c>
      <c r="F1" s="6" t="s">
        <v>30</v>
      </c>
      <c r="G1" s="6" t="s">
        <v>31</v>
      </c>
      <c r="H1" s="6" t="s">
        <v>32</v>
      </c>
      <c r="I1" s="6" t="s">
        <v>11</v>
      </c>
    </row>
    <row r="2" spans="1:9" x14ac:dyDescent="0.35">
      <c r="A2" t="s">
        <v>33</v>
      </c>
      <c r="B2" s="7">
        <v>46046</v>
      </c>
      <c r="C2" t="s">
        <v>20</v>
      </c>
      <c r="D2" t="s">
        <v>34</v>
      </c>
      <c r="E2" t="s">
        <v>35</v>
      </c>
      <c r="F2" t="s">
        <v>36</v>
      </c>
      <c r="G2">
        <v>1</v>
      </c>
      <c r="H2" s="8">
        <v>129</v>
      </c>
      <c r="I2" s="21">
        <f t="shared" ref="I2:I65" si="0">G2*H2</f>
        <v>129</v>
      </c>
    </row>
    <row r="3" spans="1:9" x14ac:dyDescent="0.35">
      <c r="A3" t="s">
        <v>37</v>
      </c>
      <c r="B3" s="7">
        <v>46046</v>
      </c>
      <c r="C3" t="s">
        <v>15</v>
      </c>
      <c r="D3" t="s">
        <v>38</v>
      </c>
      <c r="E3" t="s">
        <v>39</v>
      </c>
      <c r="F3" t="s">
        <v>36</v>
      </c>
      <c r="G3">
        <v>2</v>
      </c>
      <c r="H3" s="8">
        <v>329</v>
      </c>
      <c r="I3" s="21">
        <f t="shared" si="0"/>
        <v>658</v>
      </c>
    </row>
    <row r="4" spans="1:9" x14ac:dyDescent="0.35">
      <c r="A4" t="s">
        <v>40</v>
      </c>
      <c r="B4" s="7">
        <v>46036</v>
      </c>
      <c r="C4" t="s">
        <v>15</v>
      </c>
      <c r="D4" t="s">
        <v>41</v>
      </c>
      <c r="E4" t="s">
        <v>35</v>
      </c>
      <c r="F4" t="s">
        <v>36</v>
      </c>
      <c r="G4">
        <v>5</v>
      </c>
      <c r="H4" s="8">
        <v>129</v>
      </c>
      <c r="I4" s="21">
        <f t="shared" si="0"/>
        <v>645</v>
      </c>
    </row>
    <row r="5" spans="1:9" x14ac:dyDescent="0.35">
      <c r="A5" t="s">
        <v>42</v>
      </c>
      <c r="B5" s="7">
        <v>46030</v>
      </c>
      <c r="C5" t="s">
        <v>15</v>
      </c>
      <c r="D5" t="s">
        <v>38</v>
      </c>
      <c r="E5" t="s">
        <v>35</v>
      </c>
      <c r="F5" t="s">
        <v>36</v>
      </c>
      <c r="G5">
        <v>2</v>
      </c>
      <c r="H5" s="8">
        <v>129</v>
      </c>
      <c r="I5" s="21">
        <f t="shared" si="0"/>
        <v>258</v>
      </c>
    </row>
    <row r="6" spans="1:9" x14ac:dyDescent="0.35">
      <c r="A6" t="s">
        <v>43</v>
      </c>
      <c r="B6" s="7">
        <v>46036</v>
      </c>
      <c r="C6" t="s">
        <v>17</v>
      </c>
      <c r="D6" t="s">
        <v>44</v>
      </c>
      <c r="E6" t="s">
        <v>39</v>
      </c>
      <c r="F6" t="s">
        <v>36</v>
      </c>
      <c r="G6">
        <v>5</v>
      </c>
      <c r="H6" s="8">
        <v>329</v>
      </c>
      <c r="I6" s="21">
        <f t="shared" si="0"/>
        <v>1645</v>
      </c>
    </row>
    <row r="7" spans="1:9" x14ac:dyDescent="0.35">
      <c r="A7" t="s">
        <v>45</v>
      </c>
      <c r="B7" s="7">
        <v>46047</v>
      </c>
      <c r="C7" t="s">
        <v>17</v>
      </c>
      <c r="D7" t="s">
        <v>44</v>
      </c>
      <c r="E7" t="s">
        <v>46</v>
      </c>
      <c r="F7" t="s">
        <v>47</v>
      </c>
      <c r="G7">
        <v>1</v>
      </c>
      <c r="H7" s="8">
        <v>59</v>
      </c>
      <c r="I7" s="21">
        <f t="shared" si="0"/>
        <v>59</v>
      </c>
    </row>
    <row r="8" spans="1:9" x14ac:dyDescent="0.35">
      <c r="A8" t="s">
        <v>48</v>
      </c>
      <c r="B8" s="7">
        <v>46027</v>
      </c>
      <c r="C8" t="s">
        <v>17</v>
      </c>
      <c r="D8" t="s">
        <v>49</v>
      </c>
      <c r="E8" t="s">
        <v>50</v>
      </c>
      <c r="F8" t="s">
        <v>36</v>
      </c>
      <c r="G8">
        <v>3</v>
      </c>
      <c r="H8" s="8">
        <v>109</v>
      </c>
      <c r="I8" s="21">
        <f t="shared" si="0"/>
        <v>327</v>
      </c>
    </row>
    <row r="9" spans="1:9" x14ac:dyDescent="0.35">
      <c r="A9" t="s">
        <v>51</v>
      </c>
      <c r="B9" s="7">
        <v>46035</v>
      </c>
      <c r="C9" t="s">
        <v>15</v>
      </c>
      <c r="D9" t="s">
        <v>49</v>
      </c>
      <c r="E9" t="s">
        <v>35</v>
      </c>
      <c r="F9" t="s">
        <v>36</v>
      </c>
      <c r="G9">
        <v>1</v>
      </c>
      <c r="H9" s="8">
        <v>129</v>
      </c>
      <c r="I9" s="21">
        <f t="shared" si="0"/>
        <v>129</v>
      </c>
    </row>
    <row r="10" spans="1:9" x14ac:dyDescent="0.35">
      <c r="A10" t="s">
        <v>52</v>
      </c>
      <c r="B10" s="7">
        <v>46031</v>
      </c>
      <c r="C10" t="s">
        <v>15</v>
      </c>
      <c r="D10" t="s">
        <v>44</v>
      </c>
      <c r="E10" t="s">
        <v>50</v>
      </c>
      <c r="F10" t="s">
        <v>36</v>
      </c>
      <c r="G10">
        <v>5</v>
      </c>
      <c r="H10" s="8">
        <v>109</v>
      </c>
      <c r="I10" s="21">
        <f t="shared" si="0"/>
        <v>545</v>
      </c>
    </row>
    <row r="11" spans="1:9" x14ac:dyDescent="0.35">
      <c r="A11" t="s">
        <v>53</v>
      </c>
      <c r="B11" s="7">
        <v>46025</v>
      </c>
      <c r="C11" t="s">
        <v>20</v>
      </c>
      <c r="D11" t="s">
        <v>38</v>
      </c>
      <c r="E11" t="s">
        <v>35</v>
      </c>
      <c r="F11" t="s">
        <v>36</v>
      </c>
      <c r="G11">
        <v>4</v>
      </c>
      <c r="H11" s="8">
        <v>129</v>
      </c>
      <c r="I11" s="21">
        <f t="shared" si="0"/>
        <v>516</v>
      </c>
    </row>
    <row r="12" spans="1:9" x14ac:dyDescent="0.35">
      <c r="A12" t="s">
        <v>54</v>
      </c>
      <c r="B12" s="7">
        <v>46029</v>
      </c>
      <c r="C12" t="s">
        <v>15</v>
      </c>
      <c r="D12" t="s">
        <v>41</v>
      </c>
      <c r="E12" t="s">
        <v>50</v>
      </c>
      <c r="F12" t="s">
        <v>36</v>
      </c>
      <c r="G12">
        <v>5</v>
      </c>
      <c r="H12" s="8">
        <v>109</v>
      </c>
      <c r="I12" s="21">
        <f t="shared" si="0"/>
        <v>545</v>
      </c>
    </row>
    <row r="13" spans="1:9" x14ac:dyDescent="0.35">
      <c r="A13" t="s">
        <v>55</v>
      </c>
      <c r="B13" s="7">
        <v>46025</v>
      </c>
      <c r="C13" t="s">
        <v>17</v>
      </c>
      <c r="D13" t="s">
        <v>41</v>
      </c>
      <c r="E13" t="s">
        <v>39</v>
      </c>
      <c r="F13" t="s">
        <v>36</v>
      </c>
      <c r="G13">
        <v>3</v>
      </c>
      <c r="H13" s="8">
        <v>329</v>
      </c>
      <c r="I13" s="21">
        <f t="shared" si="0"/>
        <v>987</v>
      </c>
    </row>
    <row r="14" spans="1:9" x14ac:dyDescent="0.35">
      <c r="A14" t="s">
        <v>56</v>
      </c>
      <c r="B14" s="7">
        <v>46068</v>
      </c>
      <c r="C14" t="s">
        <v>20</v>
      </c>
      <c r="D14" t="s">
        <v>34</v>
      </c>
      <c r="E14" t="s">
        <v>57</v>
      </c>
      <c r="F14" t="s">
        <v>58</v>
      </c>
      <c r="G14">
        <v>3</v>
      </c>
      <c r="H14" s="8">
        <v>449</v>
      </c>
      <c r="I14" s="21">
        <f t="shared" si="0"/>
        <v>1347</v>
      </c>
    </row>
    <row r="15" spans="1:9" x14ac:dyDescent="0.35">
      <c r="A15" t="s">
        <v>59</v>
      </c>
      <c r="B15" s="7">
        <v>46060</v>
      </c>
      <c r="C15" t="s">
        <v>20</v>
      </c>
      <c r="D15" t="s">
        <v>41</v>
      </c>
      <c r="E15" t="s">
        <v>50</v>
      </c>
      <c r="F15" t="s">
        <v>36</v>
      </c>
      <c r="G15">
        <v>3</v>
      </c>
      <c r="H15" s="8">
        <v>109</v>
      </c>
      <c r="I15" s="21">
        <f t="shared" si="0"/>
        <v>327</v>
      </c>
    </row>
    <row r="16" spans="1:9" x14ac:dyDescent="0.35">
      <c r="A16" t="s">
        <v>60</v>
      </c>
      <c r="B16" s="7">
        <v>46077</v>
      </c>
      <c r="C16" t="s">
        <v>17</v>
      </c>
      <c r="D16" t="s">
        <v>34</v>
      </c>
      <c r="E16" t="s">
        <v>61</v>
      </c>
      <c r="F16" t="s">
        <v>58</v>
      </c>
      <c r="G16">
        <v>5</v>
      </c>
      <c r="H16" s="8">
        <v>249</v>
      </c>
      <c r="I16" s="21">
        <f t="shared" si="0"/>
        <v>1245</v>
      </c>
    </row>
    <row r="17" spans="1:9" x14ac:dyDescent="0.35">
      <c r="A17" t="s">
        <v>62</v>
      </c>
      <c r="B17" s="7">
        <v>46062</v>
      </c>
      <c r="C17" t="s">
        <v>17</v>
      </c>
      <c r="D17" t="s">
        <v>49</v>
      </c>
      <c r="E17" t="s">
        <v>63</v>
      </c>
      <c r="F17" t="s">
        <v>36</v>
      </c>
      <c r="G17">
        <v>4</v>
      </c>
      <c r="H17" s="8">
        <v>89</v>
      </c>
      <c r="I17" s="21">
        <f t="shared" si="0"/>
        <v>356</v>
      </c>
    </row>
    <row r="18" spans="1:9" x14ac:dyDescent="0.35">
      <c r="A18" t="s">
        <v>64</v>
      </c>
      <c r="B18" s="7">
        <v>46080</v>
      </c>
      <c r="C18" t="s">
        <v>15</v>
      </c>
      <c r="D18" t="s">
        <v>49</v>
      </c>
      <c r="E18" t="s">
        <v>65</v>
      </c>
      <c r="F18" t="s">
        <v>36</v>
      </c>
      <c r="G18">
        <v>2</v>
      </c>
      <c r="H18" s="8">
        <v>899</v>
      </c>
      <c r="I18" s="21">
        <f t="shared" si="0"/>
        <v>1798</v>
      </c>
    </row>
    <row r="19" spans="1:9" x14ac:dyDescent="0.35">
      <c r="A19" t="s">
        <v>66</v>
      </c>
      <c r="B19" s="7">
        <v>46056</v>
      </c>
      <c r="C19" t="s">
        <v>17</v>
      </c>
      <c r="D19" t="s">
        <v>38</v>
      </c>
      <c r="E19" t="s">
        <v>57</v>
      </c>
      <c r="F19" t="s">
        <v>58</v>
      </c>
      <c r="G19">
        <v>3</v>
      </c>
      <c r="H19" s="8">
        <v>449</v>
      </c>
      <c r="I19" s="21">
        <f t="shared" si="0"/>
        <v>1347</v>
      </c>
    </row>
    <row r="20" spans="1:9" x14ac:dyDescent="0.35">
      <c r="A20" t="s">
        <v>67</v>
      </c>
      <c r="B20" s="7">
        <v>46074</v>
      </c>
      <c r="C20" t="s">
        <v>22</v>
      </c>
      <c r="D20" t="s">
        <v>44</v>
      </c>
      <c r="E20" t="s">
        <v>50</v>
      </c>
      <c r="F20" t="s">
        <v>36</v>
      </c>
      <c r="G20">
        <v>2</v>
      </c>
      <c r="H20" s="8">
        <v>109</v>
      </c>
      <c r="I20" s="21">
        <f t="shared" si="0"/>
        <v>218</v>
      </c>
    </row>
    <row r="21" spans="1:9" x14ac:dyDescent="0.35">
      <c r="A21" t="s">
        <v>68</v>
      </c>
      <c r="B21" s="7">
        <v>46062</v>
      </c>
      <c r="C21" t="s">
        <v>17</v>
      </c>
      <c r="D21" t="s">
        <v>34</v>
      </c>
      <c r="E21" t="s">
        <v>63</v>
      </c>
      <c r="F21" t="s">
        <v>36</v>
      </c>
      <c r="G21">
        <v>2</v>
      </c>
      <c r="H21" s="8">
        <v>89</v>
      </c>
      <c r="I21" s="21">
        <f t="shared" si="0"/>
        <v>178</v>
      </c>
    </row>
    <row r="22" spans="1:9" x14ac:dyDescent="0.35">
      <c r="A22" t="s">
        <v>69</v>
      </c>
      <c r="B22" s="7">
        <v>46067</v>
      </c>
      <c r="C22" t="s">
        <v>22</v>
      </c>
      <c r="D22" t="s">
        <v>49</v>
      </c>
      <c r="E22" t="s">
        <v>46</v>
      </c>
      <c r="F22" t="s">
        <v>47</v>
      </c>
      <c r="G22">
        <v>5</v>
      </c>
      <c r="H22" s="8">
        <v>59</v>
      </c>
      <c r="I22" s="21">
        <f t="shared" si="0"/>
        <v>295</v>
      </c>
    </row>
    <row r="23" spans="1:9" x14ac:dyDescent="0.35">
      <c r="A23" t="s">
        <v>70</v>
      </c>
      <c r="B23" s="7">
        <v>46070</v>
      </c>
      <c r="C23" t="s">
        <v>22</v>
      </c>
      <c r="D23" t="s">
        <v>41</v>
      </c>
      <c r="E23" t="s">
        <v>39</v>
      </c>
      <c r="F23" t="s">
        <v>36</v>
      </c>
      <c r="G23">
        <v>2</v>
      </c>
      <c r="H23" s="8">
        <v>329</v>
      </c>
      <c r="I23" s="21">
        <f t="shared" si="0"/>
        <v>658</v>
      </c>
    </row>
    <row r="24" spans="1:9" x14ac:dyDescent="0.35">
      <c r="A24" t="s">
        <v>71</v>
      </c>
      <c r="B24" s="7">
        <v>46058</v>
      </c>
      <c r="C24" t="s">
        <v>17</v>
      </c>
      <c r="D24" t="s">
        <v>44</v>
      </c>
      <c r="E24" t="s">
        <v>65</v>
      </c>
      <c r="F24" t="s">
        <v>36</v>
      </c>
      <c r="G24">
        <v>1</v>
      </c>
      <c r="H24" s="8">
        <v>899</v>
      </c>
      <c r="I24" s="21">
        <f t="shared" si="0"/>
        <v>899</v>
      </c>
    </row>
    <row r="25" spans="1:9" x14ac:dyDescent="0.35">
      <c r="A25" t="s">
        <v>72</v>
      </c>
      <c r="B25" s="7">
        <v>46066</v>
      </c>
      <c r="C25" t="s">
        <v>22</v>
      </c>
      <c r="D25" t="s">
        <v>38</v>
      </c>
      <c r="E25" t="s">
        <v>35</v>
      </c>
      <c r="F25" t="s">
        <v>36</v>
      </c>
      <c r="G25">
        <v>4</v>
      </c>
      <c r="H25" s="8">
        <v>129</v>
      </c>
      <c r="I25" s="21">
        <f t="shared" si="0"/>
        <v>516</v>
      </c>
    </row>
    <row r="26" spans="1:9" x14ac:dyDescent="0.35">
      <c r="A26" t="s">
        <v>73</v>
      </c>
      <c r="B26" s="7">
        <v>46082</v>
      </c>
      <c r="C26" t="s">
        <v>15</v>
      </c>
      <c r="D26" t="s">
        <v>38</v>
      </c>
      <c r="E26" t="s">
        <v>46</v>
      </c>
      <c r="F26" t="s">
        <v>47</v>
      </c>
      <c r="G26">
        <v>5</v>
      </c>
      <c r="H26" s="8">
        <v>59</v>
      </c>
      <c r="I26" s="21">
        <f t="shared" si="0"/>
        <v>295</v>
      </c>
    </row>
    <row r="27" spans="1:9" x14ac:dyDescent="0.35">
      <c r="A27" t="s">
        <v>74</v>
      </c>
      <c r="B27" s="7">
        <v>46085</v>
      </c>
      <c r="C27" t="s">
        <v>20</v>
      </c>
      <c r="D27" t="s">
        <v>44</v>
      </c>
      <c r="E27" t="s">
        <v>46</v>
      </c>
      <c r="F27" t="s">
        <v>47</v>
      </c>
      <c r="G27">
        <v>3</v>
      </c>
      <c r="H27" s="8">
        <v>59</v>
      </c>
      <c r="I27" s="21">
        <f t="shared" si="0"/>
        <v>177</v>
      </c>
    </row>
    <row r="28" spans="1:9" x14ac:dyDescent="0.35">
      <c r="A28" t="s">
        <v>75</v>
      </c>
      <c r="B28" s="7">
        <v>46082</v>
      </c>
      <c r="C28" t="s">
        <v>20</v>
      </c>
      <c r="D28" t="s">
        <v>38</v>
      </c>
      <c r="E28" t="s">
        <v>61</v>
      </c>
      <c r="F28" t="s">
        <v>58</v>
      </c>
      <c r="G28">
        <v>4</v>
      </c>
      <c r="H28" s="8">
        <v>249</v>
      </c>
      <c r="I28" s="21">
        <f t="shared" si="0"/>
        <v>996</v>
      </c>
    </row>
    <row r="29" spans="1:9" x14ac:dyDescent="0.35">
      <c r="A29" t="s">
        <v>76</v>
      </c>
      <c r="B29" s="7">
        <v>46085</v>
      </c>
      <c r="C29" t="s">
        <v>20</v>
      </c>
      <c r="D29" t="s">
        <v>38</v>
      </c>
      <c r="E29" t="s">
        <v>61</v>
      </c>
      <c r="F29" t="s">
        <v>58</v>
      </c>
      <c r="G29">
        <v>5</v>
      </c>
      <c r="H29" s="8">
        <v>249</v>
      </c>
      <c r="I29" s="21">
        <f t="shared" si="0"/>
        <v>1245</v>
      </c>
    </row>
    <row r="30" spans="1:9" x14ac:dyDescent="0.35">
      <c r="A30" t="s">
        <v>77</v>
      </c>
      <c r="B30" s="7">
        <v>46093</v>
      </c>
      <c r="C30" t="s">
        <v>17</v>
      </c>
      <c r="D30" t="s">
        <v>38</v>
      </c>
      <c r="E30" t="s">
        <v>39</v>
      </c>
      <c r="F30" t="s">
        <v>36</v>
      </c>
      <c r="G30">
        <v>2</v>
      </c>
      <c r="H30" s="8">
        <v>329</v>
      </c>
      <c r="I30" s="21">
        <f t="shared" si="0"/>
        <v>658</v>
      </c>
    </row>
    <row r="31" spans="1:9" x14ac:dyDescent="0.35">
      <c r="A31" t="s">
        <v>78</v>
      </c>
      <c r="B31" s="7">
        <v>46092</v>
      </c>
      <c r="C31" t="s">
        <v>22</v>
      </c>
      <c r="D31" t="s">
        <v>41</v>
      </c>
      <c r="E31" t="s">
        <v>65</v>
      </c>
      <c r="F31" t="s">
        <v>36</v>
      </c>
      <c r="G31">
        <v>5</v>
      </c>
      <c r="H31" s="8">
        <v>899</v>
      </c>
      <c r="I31" s="21">
        <f t="shared" si="0"/>
        <v>4495</v>
      </c>
    </row>
    <row r="32" spans="1:9" x14ac:dyDescent="0.35">
      <c r="A32" t="s">
        <v>79</v>
      </c>
      <c r="B32" s="7">
        <v>46108</v>
      </c>
      <c r="C32" t="s">
        <v>20</v>
      </c>
      <c r="D32" t="s">
        <v>34</v>
      </c>
      <c r="E32" t="s">
        <v>35</v>
      </c>
      <c r="F32" t="s">
        <v>36</v>
      </c>
      <c r="G32">
        <v>3</v>
      </c>
      <c r="H32" s="8">
        <v>129</v>
      </c>
      <c r="I32" s="21">
        <f t="shared" si="0"/>
        <v>387</v>
      </c>
    </row>
    <row r="33" spans="1:9" x14ac:dyDescent="0.35">
      <c r="A33" t="s">
        <v>80</v>
      </c>
      <c r="B33" s="7">
        <v>46100</v>
      </c>
      <c r="C33" t="s">
        <v>15</v>
      </c>
      <c r="D33" t="s">
        <v>41</v>
      </c>
      <c r="E33" t="s">
        <v>65</v>
      </c>
      <c r="F33" t="s">
        <v>36</v>
      </c>
      <c r="G33">
        <v>2</v>
      </c>
      <c r="H33" s="8">
        <v>899</v>
      </c>
      <c r="I33" s="21">
        <f t="shared" si="0"/>
        <v>1798</v>
      </c>
    </row>
    <row r="34" spans="1:9" x14ac:dyDescent="0.35">
      <c r="A34" t="s">
        <v>81</v>
      </c>
      <c r="B34" s="7">
        <v>46106</v>
      </c>
      <c r="C34" t="s">
        <v>17</v>
      </c>
      <c r="D34" t="s">
        <v>34</v>
      </c>
      <c r="E34" t="s">
        <v>63</v>
      </c>
      <c r="F34" t="s">
        <v>36</v>
      </c>
      <c r="G34">
        <v>1</v>
      </c>
      <c r="H34" s="8">
        <v>89</v>
      </c>
      <c r="I34" s="21">
        <f t="shared" si="0"/>
        <v>89</v>
      </c>
    </row>
    <row r="35" spans="1:9" x14ac:dyDescent="0.35">
      <c r="A35" t="s">
        <v>82</v>
      </c>
      <c r="B35" s="7">
        <v>46087</v>
      </c>
      <c r="C35" t="s">
        <v>20</v>
      </c>
      <c r="D35" t="s">
        <v>38</v>
      </c>
      <c r="E35" t="s">
        <v>63</v>
      </c>
      <c r="F35" t="s">
        <v>36</v>
      </c>
      <c r="G35">
        <v>5</v>
      </c>
      <c r="H35" s="8">
        <v>89</v>
      </c>
      <c r="I35" s="21">
        <f t="shared" si="0"/>
        <v>445</v>
      </c>
    </row>
    <row r="36" spans="1:9" x14ac:dyDescent="0.35">
      <c r="A36" t="s">
        <v>83</v>
      </c>
      <c r="B36" s="7">
        <v>46099</v>
      </c>
      <c r="C36" t="s">
        <v>17</v>
      </c>
      <c r="D36" t="s">
        <v>49</v>
      </c>
      <c r="E36" t="s">
        <v>57</v>
      </c>
      <c r="F36" t="s">
        <v>58</v>
      </c>
      <c r="G36">
        <v>2</v>
      </c>
      <c r="H36" s="8">
        <v>449</v>
      </c>
      <c r="I36" s="21">
        <f t="shared" si="0"/>
        <v>898</v>
      </c>
    </row>
    <row r="37" spans="1:9" x14ac:dyDescent="0.35">
      <c r="A37" t="s">
        <v>84</v>
      </c>
      <c r="B37" s="7">
        <v>46096</v>
      </c>
      <c r="C37" t="s">
        <v>22</v>
      </c>
      <c r="D37" t="s">
        <v>41</v>
      </c>
      <c r="E37" t="s">
        <v>57</v>
      </c>
      <c r="F37" t="s">
        <v>58</v>
      </c>
      <c r="G37">
        <v>3</v>
      </c>
      <c r="H37" s="8">
        <v>449</v>
      </c>
      <c r="I37" s="21">
        <f t="shared" si="0"/>
        <v>1347</v>
      </c>
    </row>
    <row r="38" spans="1:9" x14ac:dyDescent="0.35">
      <c r="A38" t="s">
        <v>85</v>
      </c>
      <c r="B38" s="7">
        <v>46115</v>
      </c>
      <c r="C38" t="s">
        <v>20</v>
      </c>
      <c r="D38" t="s">
        <v>41</v>
      </c>
      <c r="E38" t="s">
        <v>39</v>
      </c>
      <c r="F38" t="s">
        <v>36</v>
      </c>
      <c r="G38">
        <v>2</v>
      </c>
      <c r="H38" s="8">
        <v>329</v>
      </c>
      <c r="I38" s="21">
        <f t="shared" si="0"/>
        <v>658</v>
      </c>
    </row>
    <row r="39" spans="1:9" x14ac:dyDescent="0.35">
      <c r="A39" t="s">
        <v>86</v>
      </c>
      <c r="B39" s="7">
        <v>46120</v>
      </c>
      <c r="C39" t="s">
        <v>15</v>
      </c>
      <c r="D39" t="s">
        <v>41</v>
      </c>
      <c r="E39" t="s">
        <v>39</v>
      </c>
      <c r="F39" t="s">
        <v>36</v>
      </c>
      <c r="G39">
        <v>5</v>
      </c>
      <c r="H39" s="8">
        <v>329</v>
      </c>
      <c r="I39" s="21">
        <f t="shared" si="0"/>
        <v>1645</v>
      </c>
    </row>
    <row r="40" spans="1:9" x14ac:dyDescent="0.35">
      <c r="A40" t="s">
        <v>87</v>
      </c>
      <c r="B40" s="7">
        <v>46115</v>
      </c>
      <c r="C40" t="s">
        <v>15</v>
      </c>
      <c r="D40" t="s">
        <v>49</v>
      </c>
      <c r="E40" t="s">
        <v>65</v>
      </c>
      <c r="F40" t="s">
        <v>36</v>
      </c>
      <c r="G40">
        <v>2</v>
      </c>
      <c r="H40" s="8">
        <v>899</v>
      </c>
      <c r="I40" s="21">
        <f t="shared" si="0"/>
        <v>1798</v>
      </c>
    </row>
    <row r="41" spans="1:9" x14ac:dyDescent="0.35">
      <c r="A41" t="s">
        <v>88</v>
      </c>
      <c r="B41" s="7">
        <v>46120</v>
      </c>
      <c r="C41" t="s">
        <v>20</v>
      </c>
      <c r="D41" t="s">
        <v>44</v>
      </c>
      <c r="E41" t="s">
        <v>35</v>
      </c>
      <c r="F41" t="s">
        <v>36</v>
      </c>
      <c r="G41">
        <v>5</v>
      </c>
      <c r="H41" s="8">
        <v>129</v>
      </c>
      <c r="I41" s="21">
        <f t="shared" si="0"/>
        <v>645</v>
      </c>
    </row>
    <row r="42" spans="1:9" x14ac:dyDescent="0.35">
      <c r="A42" t="s">
        <v>89</v>
      </c>
      <c r="B42" s="7">
        <v>46117</v>
      </c>
      <c r="C42" t="s">
        <v>22</v>
      </c>
      <c r="D42" t="s">
        <v>34</v>
      </c>
      <c r="E42" t="s">
        <v>39</v>
      </c>
      <c r="F42" t="s">
        <v>36</v>
      </c>
      <c r="G42">
        <v>5</v>
      </c>
      <c r="H42" s="8">
        <v>329</v>
      </c>
      <c r="I42" s="21">
        <f t="shared" si="0"/>
        <v>1645</v>
      </c>
    </row>
    <row r="43" spans="1:9" x14ac:dyDescent="0.35">
      <c r="A43" t="s">
        <v>90</v>
      </c>
      <c r="B43" s="7">
        <v>46119</v>
      </c>
      <c r="C43" t="s">
        <v>15</v>
      </c>
      <c r="D43" t="s">
        <v>41</v>
      </c>
      <c r="E43" t="s">
        <v>63</v>
      </c>
      <c r="F43" t="s">
        <v>36</v>
      </c>
      <c r="G43">
        <v>4</v>
      </c>
      <c r="H43" s="8">
        <v>89</v>
      </c>
      <c r="I43" s="21">
        <f t="shared" si="0"/>
        <v>356</v>
      </c>
    </row>
    <row r="44" spans="1:9" x14ac:dyDescent="0.35">
      <c r="A44" t="s">
        <v>91</v>
      </c>
      <c r="B44" s="7">
        <v>46126</v>
      </c>
      <c r="C44" t="s">
        <v>22</v>
      </c>
      <c r="D44" t="s">
        <v>44</v>
      </c>
      <c r="E44" t="s">
        <v>57</v>
      </c>
      <c r="F44" t="s">
        <v>58</v>
      </c>
      <c r="G44">
        <v>3</v>
      </c>
      <c r="H44" s="8">
        <v>449</v>
      </c>
      <c r="I44" s="21">
        <f t="shared" si="0"/>
        <v>1347</v>
      </c>
    </row>
    <row r="45" spans="1:9" x14ac:dyDescent="0.35">
      <c r="A45" t="s">
        <v>92</v>
      </c>
      <c r="B45" s="7">
        <v>46114</v>
      </c>
      <c r="C45" t="s">
        <v>22</v>
      </c>
      <c r="D45" t="s">
        <v>49</v>
      </c>
      <c r="E45" t="s">
        <v>65</v>
      </c>
      <c r="F45" t="s">
        <v>36</v>
      </c>
      <c r="G45">
        <v>1</v>
      </c>
      <c r="H45" s="8">
        <v>899</v>
      </c>
      <c r="I45" s="21">
        <f t="shared" si="0"/>
        <v>899</v>
      </c>
    </row>
    <row r="46" spans="1:9" x14ac:dyDescent="0.35">
      <c r="A46" t="s">
        <v>93</v>
      </c>
      <c r="B46" s="7">
        <v>46119</v>
      </c>
      <c r="C46" t="s">
        <v>17</v>
      </c>
      <c r="D46" t="s">
        <v>38</v>
      </c>
      <c r="E46" t="s">
        <v>35</v>
      </c>
      <c r="F46" t="s">
        <v>36</v>
      </c>
      <c r="G46">
        <v>2</v>
      </c>
      <c r="H46" s="8">
        <v>129</v>
      </c>
      <c r="I46" s="21">
        <f t="shared" si="0"/>
        <v>258</v>
      </c>
    </row>
    <row r="47" spans="1:9" x14ac:dyDescent="0.35">
      <c r="A47" t="s">
        <v>94</v>
      </c>
      <c r="B47" s="7">
        <v>46126</v>
      </c>
      <c r="C47" t="s">
        <v>17</v>
      </c>
      <c r="D47" t="s">
        <v>49</v>
      </c>
      <c r="E47" t="s">
        <v>63</v>
      </c>
      <c r="F47" t="s">
        <v>36</v>
      </c>
      <c r="G47">
        <v>2</v>
      </c>
      <c r="H47" s="8">
        <v>89</v>
      </c>
      <c r="I47" s="21">
        <f t="shared" si="0"/>
        <v>178</v>
      </c>
    </row>
    <row r="48" spans="1:9" x14ac:dyDescent="0.35">
      <c r="A48" t="s">
        <v>95</v>
      </c>
      <c r="B48" s="7">
        <v>46115</v>
      </c>
      <c r="C48" t="s">
        <v>22</v>
      </c>
      <c r="D48" t="s">
        <v>38</v>
      </c>
      <c r="E48" t="s">
        <v>63</v>
      </c>
      <c r="F48" t="s">
        <v>36</v>
      </c>
      <c r="G48">
        <v>2</v>
      </c>
      <c r="H48" s="8">
        <v>89</v>
      </c>
      <c r="I48" s="21">
        <f t="shared" si="0"/>
        <v>178</v>
      </c>
    </row>
    <row r="49" spans="1:9" x14ac:dyDescent="0.35">
      <c r="A49" t="s">
        <v>96</v>
      </c>
      <c r="B49" s="7">
        <v>46133</v>
      </c>
      <c r="C49" t="s">
        <v>15</v>
      </c>
      <c r="D49" t="s">
        <v>41</v>
      </c>
      <c r="E49" t="s">
        <v>35</v>
      </c>
      <c r="F49" t="s">
        <v>36</v>
      </c>
      <c r="G49">
        <v>1</v>
      </c>
      <c r="H49" s="8">
        <v>129</v>
      </c>
      <c r="I49" s="21">
        <f t="shared" si="0"/>
        <v>129</v>
      </c>
    </row>
    <row r="50" spans="1:9" x14ac:dyDescent="0.35">
      <c r="A50" t="s">
        <v>97</v>
      </c>
      <c r="B50" s="7">
        <v>46156</v>
      </c>
      <c r="C50" t="s">
        <v>22</v>
      </c>
      <c r="D50" t="s">
        <v>44</v>
      </c>
      <c r="E50" t="s">
        <v>39</v>
      </c>
      <c r="F50" t="s">
        <v>36</v>
      </c>
      <c r="G50">
        <v>2</v>
      </c>
      <c r="H50" s="8">
        <v>329</v>
      </c>
      <c r="I50" s="21">
        <f t="shared" si="0"/>
        <v>658</v>
      </c>
    </row>
    <row r="51" spans="1:9" x14ac:dyDescent="0.35">
      <c r="A51" t="s">
        <v>98</v>
      </c>
      <c r="B51" s="7">
        <v>46144</v>
      </c>
      <c r="C51" t="s">
        <v>17</v>
      </c>
      <c r="D51" t="s">
        <v>44</v>
      </c>
      <c r="E51" t="s">
        <v>39</v>
      </c>
      <c r="F51" t="s">
        <v>36</v>
      </c>
      <c r="G51">
        <v>4</v>
      </c>
      <c r="H51" s="8">
        <v>329</v>
      </c>
      <c r="I51" s="21">
        <f t="shared" si="0"/>
        <v>1316</v>
      </c>
    </row>
    <row r="52" spans="1:9" x14ac:dyDescent="0.35">
      <c r="A52" t="s">
        <v>99</v>
      </c>
      <c r="B52" s="7">
        <v>46151</v>
      </c>
      <c r="C52" t="s">
        <v>22</v>
      </c>
      <c r="D52" t="s">
        <v>49</v>
      </c>
      <c r="E52" t="s">
        <v>65</v>
      </c>
      <c r="F52" t="s">
        <v>36</v>
      </c>
      <c r="G52">
        <v>4</v>
      </c>
      <c r="H52" s="8">
        <v>899</v>
      </c>
      <c r="I52" s="21">
        <f t="shared" si="0"/>
        <v>3596</v>
      </c>
    </row>
    <row r="53" spans="1:9" x14ac:dyDescent="0.35">
      <c r="A53" t="s">
        <v>100</v>
      </c>
      <c r="B53" s="7">
        <v>46164</v>
      </c>
      <c r="C53" t="s">
        <v>22</v>
      </c>
      <c r="D53" t="s">
        <v>34</v>
      </c>
      <c r="E53" t="s">
        <v>57</v>
      </c>
      <c r="F53" t="s">
        <v>58</v>
      </c>
      <c r="G53">
        <v>5</v>
      </c>
      <c r="H53" s="8">
        <v>449</v>
      </c>
      <c r="I53" s="21">
        <f t="shared" si="0"/>
        <v>2245</v>
      </c>
    </row>
    <row r="54" spans="1:9" x14ac:dyDescent="0.35">
      <c r="A54" t="s">
        <v>101</v>
      </c>
      <c r="B54" s="7">
        <v>46149</v>
      </c>
      <c r="C54" t="s">
        <v>15</v>
      </c>
      <c r="D54" t="s">
        <v>38</v>
      </c>
      <c r="E54" t="s">
        <v>39</v>
      </c>
      <c r="F54" t="s">
        <v>36</v>
      </c>
      <c r="G54">
        <v>3</v>
      </c>
      <c r="H54" s="8">
        <v>329</v>
      </c>
      <c r="I54" s="21">
        <f t="shared" si="0"/>
        <v>987</v>
      </c>
    </row>
    <row r="55" spans="1:9" x14ac:dyDescent="0.35">
      <c r="A55" t="s">
        <v>102</v>
      </c>
      <c r="B55" s="7">
        <v>46144</v>
      </c>
      <c r="C55" t="s">
        <v>15</v>
      </c>
      <c r="D55" t="s">
        <v>38</v>
      </c>
      <c r="E55" t="s">
        <v>65</v>
      </c>
      <c r="F55" t="s">
        <v>36</v>
      </c>
      <c r="G55">
        <v>3</v>
      </c>
      <c r="H55" s="8">
        <v>899</v>
      </c>
      <c r="I55" s="21">
        <f t="shared" si="0"/>
        <v>2697</v>
      </c>
    </row>
    <row r="56" spans="1:9" x14ac:dyDescent="0.35">
      <c r="A56" t="s">
        <v>103</v>
      </c>
      <c r="B56" s="7">
        <v>46159</v>
      </c>
      <c r="C56" t="s">
        <v>17</v>
      </c>
      <c r="D56" t="s">
        <v>41</v>
      </c>
      <c r="E56" t="s">
        <v>63</v>
      </c>
      <c r="F56" t="s">
        <v>36</v>
      </c>
      <c r="G56">
        <v>5</v>
      </c>
      <c r="H56" s="8">
        <v>89</v>
      </c>
      <c r="I56" s="21">
        <f t="shared" si="0"/>
        <v>445</v>
      </c>
    </row>
    <row r="57" spans="1:9" x14ac:dyDescent="0.35">
      <c r="A57" t="s">
        <v>104</v>
      </c>
      <c r="B57" s="7">
        <v>46145</v>
      </c>
      <c r="C57" t="s">
        <v>15</v>
      </c>
      <c r="D57" t="s">
        <v>34</v>
      </c>
      <c r="E57" t="s">
        <v>35</v>
      </c>
      <c r="F57" t="s">
        <v>36</v>
      </c>
      <c r="G57">
        <v>2</v>
      </c>
      <c r="H57" s="8">
        <v>129</v>
      </c>
      <c r="I57" s="21">
        <f t="shared" si="0"/>
        <v>258</v>
      </c>
    </row>
    <row r="58" spans="1:9" x14ac:dyDescent="0.35">
      <c r="A58" t="s">
        <v>105</v>
      </c>
      <c r="B58" s="7">
        <v>46161</v>
      </c>
      <c r="C58" t="s">
        <v>17</v>
      </c>
      <c r="D58" t="s">
        <v>38</v>
      </c>
      <c r="E58" t="s">
        <v>57</v>
      </c>
      <c r="F58" t="s">
        <v>58</v>
      </c>
      <c r="G58">
        <v>1</v>
      </c>
      <c r="H58" s="8">
        <v>449</v>
      </c>
      <c r="I58" s="21">
        <f t="shared" si="0"/>
        <v>449</v>
      </c>
    </row>
    <row r="59" spans="1:9" x14ac:dyDescent="0.35">
      <c r="A59" t="s">
        <v>106</v>
      </c>
      <c r="B59" s="7">
        <v>46145</v>
      </c>
      <c r="C59" t="s">
        <v>22</v>
      </c>
      <c r="D59" t="s">
        <v>38</v>
      </c>
      <c r="E59" t="s">
        <v>65</v>
      </c>
      <c r="F59" t="s">
        <v>36</v>
      </c>
      <c r="G59">
        <v>5</v>
      </c>
      <c r="H59" s="8">
        <v>899</v>
      </c>
      <c r="I59" s="21">
        <f t="shared" si="0"/>
        <v>4495</v>
      </c>
    </row>
    <row r="60" spans="1:9" x14ac:dyDescent="0.35">
      <c r="A60" t="s">
        <v>107</v>
      </c>
      <c r="B60" s="7">
        <v>46149</v>
      </c>
      <c r="C60" t="s">
        <v>20</v>
      </c>
      <c r="D60" t="s">
        <v>34</v>
      </c>
      <c r="E60" t="s">
        <v>50</v>
      </c>
      <c r="F60" t="s">
        <v>36</v>
      </c>
      <c r="G60">
        <v>3</v>
      </c>
      <c r="H60" s="8">
        <v>109</v>
      </c>
      <c r="I60" s="21">
        <f t="shared" si="0"/>
        <v>327</v>
      </c>
    </row>
    <row r="61" spans="1:9" x14ac:dyDescent="0.35">
      <c r="A61" t="s">
        <v>108</v>
      </c>
      <c r="B61" s="7">
        <v>46147</v>
      </c>
      <c r="C61" t="s">
        <v>20</v>
      </c>
      <c r="D61" t="s">
        <v>44</v>
      </c>
      <c r="E61" t="s">
        <v>46</v>
      </c>
      <c r="F61" t="s">
        <v>47</v>
      </c>
      <c r="G61">
        <v>4</v>
      </c>
      <c r="H61" s="8">
        <v>59</v>
      </c>
      <c r="I61" s="21">
        <f t="shared" si="0"/>
        <v>236</v>
      </c>
    </row>
    <row r="62" spans="1:9" x14ac:dyDescent="0.35">
      <c r="A62" t="s">
        <v>109</v>
      </c>
      <c r="B62" s="7">
        <v>46174</v>
      </c>
      <c r="C62" t="s">
        <v>22</v>
      </c>
      <c r="D62" t="s">
        <v>38</v>
      </c>
      <c r="E62" t="s">
        <v>50</v>
      </c>
      <c r="F62" t="s">
        <v>36</v>
      </c>
      <c r="G62">
        <v>1</v>
      </c>
      <c r="H62" s="8">
        <v>109</v>
      </c>
      <c r="I62" s="21">
        <f t="shared" si="0"/>
        <v>109</v>
      </c>
    </row>
    <row r="63" spans="1:9" x14ac:dyDescent="0.35">
      <c r="A63" t="s">
        <v>110</v>
      </c>
      <c r="B63" s="7">
        <v>46191</v>
      </c>
      <c r="C63" t="s">
        <v>17</v>
      </c>
      <c r="D63" t="s">
        <v>38</v>
      </c>
      <c r="E63" t="s">
        <v>35</v>
      </c>
      <c r="F63" t="s">
        <v>36</v>
      </c>
      <c r="G63">
        <v>1</v>
      </c>
      <c r="H63" s="8">
        <v>129</v>
      </c>
      <c r="I63" s="21">
        <f t="shared" si="0"/>
        <v>129</v>
      </c>
    </row>
    <row r="64" spans="1:9" x14ac:dyDescent="0.35">
      <c r="A64" t="s">
        <v>111</v>
      </c>
      <c r="B64" s="7">
        <v>46185</v>
      </c>
      <c r="C64" t="s">
        <v>15</v>
      </c>
      <c r="D64" t="s">
        <v>34</v>
      </c>
      <c r="E64" t="s">
        <v>46</v>
      </c>
      <c r="F64" t="s">
        <v>47</v>
      </c>
      <c r="G64">
        <v>2</v>
      </c>
      <c r="H64" s="8">
        <v>59</v>
      </c>
      <c r="I64" s="21">
        <f t="shared" si="0"/>
        <v>118</v>
      </c>
    </row>
    <row r="65" spans="1:9" x14ac:dyDescent="0.35">
      <c r="A65" t="s">
        <v>112</v>
      </c>
      <c r="B65" s="7">
        <v>46179</v>
      </c>
      <c r="C65" t="s">
        <v>22</v>
      </c>
      <c r="D65" t="s">
        <v>38</v>
      </c>
      <c r="E65" t="s">
        <v>50</v>
      </c>
      <c r="F65" t="s">
        <v>36</v>
      </c>
      <c r="G65">
        <v>3</v>
      </c>
      <c r="H65" s="8">
        <v>109</v>
      </c>
      <c r="I65" s="21">
        <f t="shared" si="0"/>
        <v>327</v>
      </c>
    </row>
    <row r="66" spans="1:9" x14ac:dyDescent="0.35">
      <c r="A66" t="s">
        <v>113</v>
      </c>
      <c r="B66" s="7">
        <v>46199</v>
      </c>
      <c r="C66" t="s">
        <v>15</v>
      </c>
      <c r="D66" t="s">
        <v>38</v>
      </c>
      <c r="E66" t="s">
        <v>46</v>
      </c>
      <c r="F66" t="s">
        <v>47</v>
      </c>
      <c r="G66">
        <v>5</v>
      </c>
      <c r="H66" s="8">
        <v>59</v>
      </c>
      <c r="I66" s="21">
        <f t="shared" ref="I66:I97" si="1">G66*H66</f>
        <v>295</v>
      </c>
    </row>
    <row r="67" spans="1:9" x14ac:dyDescent="0.35">
      <c r="A67" t="s">
        <v>114</v>
      </c>
      <c r="B67" s="7">
        <v>46178</v>
      </c>
      <c r="C67" t="s">
        <v>20</v>
      </c>
      <c r="D67" t="s">
        <v>41</v>
      </c>
      <c r="E67" t="s">
        <v>46</v>
      </c>
      <c r="F67" t="s">
        <v>47</v>
      </c>
      <c r="G67">
        <v>1</v>
      </c>
      <c r="H67" s="8">
        <v>59</v>
      </c>
      <c r="I67" s="21">
        <f t="shared" si="1"/>
        <v>59</v>
      </c>
    </row>
    <row r="68" spans="1:9" x14ac:dyDescent="0.35">
      <c r="A68" t="s">
        <v>115</v>
      </c>
      <c r="B68" s="7">
        <v>46178</v>
      </c>
      <c r="C68" t="s">
        <v>20</v>
      </c>
      <c r="D68" t="s">
        <v>49</v>
      </c>
      <c r="E68" t="s">
        <v>35</v>
      </c>
      <c r="F68" t="s">
        <v>36</v>
      </c>
      <c r="G68">
        <v>5</v>
      </c>
      <c r="H68" s="8">
        <v>129</v>
      </c>
      <c r="I68" s="21">
        <f t="shared" si="1"/>
        <v>645</v>
      </c>
    </row>
    <row r="69" spans="1:9" x14ac:dyDescent="0.35">
      <c r="A69" t="s">
        <v>116</v>
      </c>
      <c r="B69" s="7">
        <v>46180</v>
      </c>
      <c r="C69" t="s">
        <v>20</v>
      </c>
      <c r="D69" t="s">
        <v>38</v>
      </c>
      <c r="E69" t="s">
        <v>39</v>
      </c>
      <c r="F69" t="s">
        <v>36</v>
      </c>
      <c r="G69">
        <v>3</v>
      </c>
      <c r="H69" s="8">
        <v>329</v>
      </c>
      <c r="I69" s="21">
        <f t="shared" si="1"/>
        <v>987</v>
      </c>
    </row>
    <row r="70" spans="1:9" x14ac:dyDescent="0.35">
      <c r="A70" t="s">
        <v>117</v>
      </c>
      <c r="B70" s="7">
        <v>46175</v>
      </c>
      <c r="C70" t="s">
        <v>15</v>
      </c>
      <c r="D70" t="s">
        <v>44</v>
      </c>
      <c r="E70" t="s">
        <v>63</v>
      </c>
      <c r="F70" t="s">
        <v>36</v>
      </c>
      <c r="G70">
        <v>3</v>
      </c>
      <c r="H70" s="8">
        <v>89</v>
      </c>
      <c r="I70" s="21">
        <f t="shared" si="1"/>
        <v>267</v>
      </c>
    </row>
    <row r="71" spans="1:9" x14ac:dyDescent="0.35">
      <c r="A71" t="s">
        <v>118</v>
      </c>
      <c r="B71" s="7">
        <v>46174</v>
      </c>
      <c r="C71" t="s">
        <v>20</v>
      </c>
      <c r="D71" t="s">
        <v>34</v>
      </c>
      <c r="E71" t="s">
        <v>46</v>
      </c>
      <c r="F71" t="s">
        <v>47</v>
      </c>
      <c r="G71">
        <v>1</v>
      </c>
      <c r="H71" s="8">
        <v>59</v>
      </c>
      <c r="I71" s="21">
        <f t="shared" si="1"/>
        <v>59</v>
      </c>
    </row>
    <row r="72" spans="1:9" x14ac:dyDescent="0.35">
      <c r="A72" t="s">
        <v>119</v>
      </c>
      <c r="B72" s="7">
        <v>46197</v>
      </c>
      <c r="C72" t="s">
        <v>22</v>
      </c>
      <c r="D72" t="s">
        <v>38</v>
      </c>
      <c r="E72" t="s">
        <v>46</v>
      </c>
      <c r="F72" t="s">
        <v>47</v>
      </c>
      <c r="G72">
        <v>2</v>
      </c>
      <c r="H72" s="8">
        <v>59</v>
      </c>
      <c r="I72" s="21">
        <f t="shared" si="1"/>
        <v>118</v>
      </c>
    </row>
    <row r="73" spans="1:9" x14ac:dyDescent="0.35">
      <c r="A73" t="s">
        <v>120</v>
      </c>
      <c r="B73" s="7">
        <v>46174</v>
      </c>
      <c r="C73" t="s">
        <v>15</v>
      </c>
      <c r="D73" t="s">
        <v>41</v>
      </c>
      <c r="E73" t="s">
        <v>57</v>
      </c>
      <c r="F73" t="s">
        <v>58</v>
      </c>
      <c r="G73">
        <v>5</v>
      </c>
      <c r="H73" s="8">
        <v>449</v>
      </c>
      <c r="I73" s="21">
        <f t="shared" si="1"/>
        <v>2245</v>
      </c>
    </row>
    <row r="74" spans="1:9" x14ac:dyDescent="0.35">
      <c r="A74" t="s">
        <v>121</v>
      </c>
      <c r="B74" s="7">
        <v>46205</v>
      </c>
      <c r="C74" t="s">
        <v>20</v>
      </c>
      <c r="D74" t="s">
        <v>38</v>
      </c>
      <c r="E74" t="s">
        <v>61</v>
      </c>
      <c r="F74" t="s">
        <v>58</v>
      </c>
      <c r="G74">
        <v>5</v>
      </c>
      <c r="H74" s="8">
        <v>249</v>
      </c>
      <c r="I74" s="21">
        <f t="shared" si="1"/>
        <v>1245</v>
      </c>
    </row>
    <row r="75" spans="1:9" x14ac:dyDescent="0.35">
      <c r="A75" t="s">
        <v>122</v>
      </c>
      <c r="B75" s="7">
        <v>46208</v>
      </c>
      <c r="C75" t="s">
        <v>15</v>
      </c>
      <c r="D75" t="s">
        <v>49</v>
      </c>
      <c r="E75" t="s">
        <v>61</v>
      </c>
      <c r="F75" t="s">
        <v>58</v>
      </c>
      <c r="G75">
        <v>4</v>
      </c>
      <c r="H75" s="8">
        <v>249</v>
      </c>
      <c r="I75" s="21">
        <f t="shared" si="1"/>
        <v>996</v>
      </c>
    </row>
    <row r="76" spans="1:9" x14ac:dyDescent="0.35">
      <c r="A76" t="s">
        <v>123</v>
      </c>
      <c r="B76" s="7">
        <v>46215</v>
      </c>
      <c r="C76" t="s">
        <v>17</v>
      </c>
      <c r="D76" t="s">
        <v>34</v>
      </c>
      <c r="E76" t="s">
        <v>50</v>
      </c>
      <c r="F76" t="s">
        <v>36</v>
      </c>
      <c r="G76">
        <v>1</v>
      </c>
      <c r="H76" s="8">
        <v>109</v>
      </c>
      <c r="I76" s="21">
        <f t="shared" si="1"/>
        <v>109</v>
      </c>
    </row>
    <row r="77" spans="1:9" x14ac:dyDescent="0.35">
      <c r="A77" t="s">
        <v>124</v>
      </c>
      <c r="B77" s="7">
        <v>46228</v>
      </c>
      <c r="C77" t="s">
        <v>22</v>
      </c>
      <c r="D77" t="s">
        <v>38</v>
      </c>
      <c r="E77" t="s">
        <v>35</v>
      </c>
      <c r="F77" t="s">
        <v>36</v>
      </c>
      <c r="G77">
        <v>3</v>
      </c>
      <c r="H77" s="8">
        <v>129</v>
      </c>
      <c r="I77" s="21">
        <f t="shared" si="1"/>
        <v>387</v>
      </c>
    </row>
    <row r="78" spans="1:9" x14ac:dyDescent="0.35">
      <c r="A78" t="s">
        <v>125</v>
      </c>
      <c r="B78" s="7">
        <v>46209</v>
      </c>
      <c r="C78" t="s">
        <v>17</v>
      </c>
      <c r="D78" t="s">
        <v>44</v>
      </c>
      <c r="E78" t="s">
        <v>61</v>
      </c>
      <c r="F78" t="s">
        <v>58</v>
      </c>
      <c r="G78">
        <v>2</v>
      </c>
      <c r="H78" s="8">
        <v>249</v>
      </c>
      <c r="I78" s="21">
        <f t="shared" si="1"/>
        <v>498</v>
      </c>
    </row>
    <row r="79" spans="1:9" x14ac:dyDescent="0.35">
      <c r="A79" t="s">
        <v>126</v>
      </c>
      <c r="B79" s="7">
        <v>46227</v>
      </c>
      <c r="C79" t="s">
        <v>20</v>
      </c>
      <c r="D79" t="s">
        <v>44</v>
      </c>
      <c r="E79" t="s">
        <v>65</v>
      </c>
      <c r="F79" t="s">
        <v>36</v>
      </c>
      <c r="G79">
        <v>2</v>
      </c>
      <c r="H79" s="8">
        <v>899</v>
      </c>
      <c r="I79" s="21">
        <f t="shared" si="1"/>
        <v>1798</v>
      </c>
    </row>
    <row r="80" spans="1:9" x14ac:dyDescent="0.35">
      <c r="A80" t="s">
        <v>127</v>
      </c>
      <c r="B80" s="7">
        <v>46209</v>
      </c>
      <c r="C80" t="s">
        <v>15</v>
      </c>
      <c r="D80" t="s">
        <v>44</v>
      </c>
      <c r="E80" t="s">
        <v>39</v>
      </c>
      <c r="F80" t="s">
        <v>36</v>
      </c>
      <c r="G80">
        <v>3</v>
      </c>
      <c r="H80" s="8">
        <v>329</v>
      </c>
      <c r="I80" s="21">
        <f t="shared" si="1"/>
        <v>987</v>
      </c>
    </row>
    <row r="81" spans="1:9" x14ac:dyDescent="0.35">
      <c r="A81" t="s">
        <v>128</v>
      </c>
      <c r="B81" s="7">
        <v>46211</v>
      </c>
      <c r="C81" t="s">
        <v>17</v>
      </c>
      <c r="D81" t="s">
        <v>44</v>
      </c>
      <c r="E81" t="s">
        <v>65</v>
      </c>
      <c r="F81" t="s">
        <v>36</v>
      </c>
      <c r="G81">
        <v>4</v>
      </c>
      <c r="H81" s="8">
        <v>899</v>
      </c>
      <c r="I81" s="21">
        <f t="shared" si="1"/>
        <v>3596</v>
      </c>
    </row>
    <row r="82" spans="1:9" x14ac:dyDescent="0.35">
      <c r="A82" t="s">
        <v>129</v>
      </c>
      <c r="B82" s="7">
        <v>46230</v>
      </c>
      <c r="C82" t="s">
        <v>17</v>
      </c>
      <c r="D82" t="s">
        <v>34</v>
      </c>
      <c r="E82" t="s">
        <v>50</v>
      </c>
      <c r="F82" t="s">
        <v>36</v>
      </c>
      <c r="G82">
        <v>3</v>
      </c>
      <c r="H82" s="8">
        <v>109</v>
      </c>
      <c r="I82" s="21">
        <f t="shared" si="1"/>
        <v>327</v>
      </c>
    </row>
    <row r="83" spans="1:9" x14ac:dyDescent="0.35">
      <c r="A83" t="s">
        <v>130</v>
      </c>
      <c r="B83" s="7">
        <v>46216</v>
      </c>
      <c r="C83" t="s">
        <v>20</v>
      </c>
      <c r="D83" t="s">
        <v>49</v>
      </c>
      <c r="E83" t="s">
        <v>65</v>
      </c>
      <c r="F83" t="s">
        <v>36</v>
      </c>
      <c r="G83">
        <v>2</v>
      </c>
      <c r="H83" s="8">
        <v>899</v>
      </c>
      <c r="I83" s="21">
        <f t="shared" si="1"/>
        <v>1798</v>
      </c>
    </row>
    <row r="84" spans="1:9" x14ac:dyDescent="0.35">
      <c r="A84" t="s">
        <v>131</v>
      </c>
      <c r="B84" s="7">
        <v>46215</v>
      </c>
      <c r="C84" t="s">
        <v>22</v>
      </c>
      <c r="D84" t="s">
        <v>38</v>
      </c>
      <c r="E84" t="s">
        <v>35</v>
      </c>
      <c r="F84" t="s">
        <v>36</v>
      </c>
      <c r="G84">
        <v>3</v>
      </c>
      <c r="H84" s="8">
        <v>129</v>
      </c>
      <c r="I84" s="21">
        <f t="shared" si="1"/>
        <v>387</v>
      </c>
    </row>
    <row r="85" spans="1:9" x14ac:dyDescent="0.35">
      <c r="A85" t="s">
        <v>132</v>
      </c>
      <c r="B85" s="7">
        <v>46207</v>
      </c>
      <c r="C85" t="s">
        <v>20</v>
      </c>
      <c r="D85" t="s">
        <v>34</v>
      </c>
      <c r="E85" t="s">
        <v>50</v>
      </c>
      <c r="F85" t="s">
        <v>36</v>
      </c>
      <c r="G85">
        <v>1</v>
      </c>
      <c r="H85" s="8">
        <v>109</v>
      </c>
      <c r="I85" s="21">
        <f t="shared" si="1"/>
        <v>109</v>
      </c>
    </row>
    <row r="86" spans="1:9" x14ac:dyDescent="0.35">
      <c r="A86" t="s">
        <v>133</v>
      </c>
      <c r="B86" s="7">
        <v>46238</v>
      </c>
      <c r="C86" t="s">
        <v>22</v>
      </c>
      <c r="D86" t="s">
        <v>49</v>
      </c>
      <c r="E86" t="s">
        <v>46</v>
      </c>
      <c r="F86" t="s">
        <v>47</v>
      </c>
      <c r="G86">
        <v>1</v>
      </c>
      <c r="H86" s="8">
        <v>59</v>
      </c>
      <c r="I86" s="21">
        <f t="shared" si="1"/>
        <v>59</v>
      </c>
    </row>
    <row r="87" spans="1:9" x14ac:dyDescent="0.35">
      <c r="A87" t="s">
        <v>134</v>
      </c>
      <c r="B87" s="7">
        <v>46254</v>
      </c>
      <c r="C87" t="s">
        <v>15</v>
      </c>
      <c r="D87" t="s">
        <v>44</v>
      </c>
      <c r="E87" t="s">
        <v>50</v>
      </c>
      <c r="F87" t="s">
        <v>36</v>
      </c>
      <c r="G87">
        <v>4</v>
      </c>
      <c r="H87" s="8">
        <v>109</v>
      </c>
      <c r="I87" s="21">
        <f t="shared" si="1"/>
        <v>436</v>
      </c>
    </row>
    <row r="88" spans="1:9" x14ac:dyDescent="0.35">
      <c r="A88" t="s">
        <v>135</v>
      </c>
      <c r="B88" s="7">
        <v>46236</v>
      </c>
      <c r="C88" t="s">
        <v>22</v>
      </c>
      <c r="D88" t="s">
        <v>41</v>
      </c>
      <c r="E88" t="s">
        <v>39</v>
      </c>
      <c r="F88" t="s">
        <v>36</v>
      </c>
      <c r="G88">
        <v>3</v>
      </c>
      <c r="H88" s="8">
        <v>329</v>
      </c>
      <c r="I88" s="21">
        <f t="shared" si="1"/>
        <v>987</v>
      </c>
    </row>
    <row r="89" spans="1:9" x14ac:dyDescent="0.35">
      <c r="A89" t="s">
        <v>136</v>
      </c>
      <c r="B89" s="7">
        <v>46248</v>
      </c>
      <c r="C89" t="s">
        <v>15</v>
      </c>
      <c r="D89" t="s">
        <v>49</v>
      </c>
      <c r="E89" t="s">
        <v>39</v>
      </c>
      <c r="F89" t="s">
        <v>36</v>
      </c>
      <c r="G89">
        <v>3</v>
      </c>
      <c r="H89" s="8">
        <v>329</v>
      </c>
      <c r="I89" s="21">
        <f t="shared" si="1"/>
        <v>987</v>
      </c>
    </row>
    <row r="90" spans="1:9" x14ac:dyDescent="0.35">
      <c r="A90" t="s">
        <v>137</v>
      </c>
      <c r="B90" s="7">
        <v>46258</v>
      </c>
      <c r="C90" t="s">
        <v>20</v>
      </c>
      <c r="D90" t="s">
        <v>38</v>
      </c>
      <c r="E90" t="s">
        <v>50</v>
      </c>
      <c r="F90" t="s">
        <v>36</v>
      </c>
      <c r="G90">
        <v>1</v>
      </c>
      <c r="H90" s="8">
        <v>109</v>
      </c>
      <c r="I90" s="21">
        <f t="shared" si="1"/>
        <v>109</v>
      </c>
    </row>
    <row r="91" spans="1:9" x14ac:dyDescent="0.35">
      <c r="A91" t="s">
        <v>138</v>
      </c>
      <c r="B91" s="7">
        <v>46245</v>
      </c>
      <c r="C91" t="s">
        <v>22</v>
      </c>
      <c r="D91" t="s">
        <v>49</v>
      </c>
      <c r="E91" t="s">
        <v>46</v>
      </c>
      <c r="F91" t="s">
        <v>47</v>
      </c>
      <c r="G91">
        <v>4</v>
      </c>
      <c r="H91" s="8">
        <v>59</v>
      </c>
      <c r="I91" s="21">
        <f t="shared" si="1"/>
        <v>236</v>
      </c>
    </row>
    <row r="92" spans="1:9" x14ac:dyDescent="0.35">
      <c r="A92" t="s">
        <v>139</v>
      </c>
      <c r="B92" s="7">
        <v>46248</v>
      </c>
      <c r="C92" t="s">
        <v>22</v>
      </c>
      <c r="D92" t="s">
        <v>34</v>
      </c>
      <c r="E92" t="s">
        <v>61</v>
      </c>
      <c r="F92" t="s">
        <v>58</v>
      </c>
      <c r="G92">
        <v>2</v>
      </c>
      <c r="H92" s="8">
        <v>249</v>
      </c>
      <c r="I92" s="21">
        <f t="shared" si="1"/>
        <v>498</v>
      </c>
    </row>
    <row r="93" spans="1:9" x14ac:dyDescent="0.35">
      <c r="A93" t="s">
        <v>140</v>
      </c>
      <c r="B93" s="7">
        <v>46252</v>
      </c>
      <c r="C93" t="s">
        <v>15</v>
      </c>
      <c r="D93" t="s">
        <v>49</v>
      </c>
      <c r="E93" t="s">
        <v>46</v>
      </c>
      <c r="F93" t="s">
        <v>47</v>
      </c>
      <c r="G93">
        <v>4</v>
      </c>
      <c r="H93" s="8">
        <v>59</v>
      </c>
      <c r="I93" s="21">
        <f t="shared" si="1"/>
        <v>236</v>
      </c>
    </row>
    <row r="94" spans="1:9" x14ac:dyDescent="0.35">
      <c r="A94" t="s">
        <v>141</v>
      </c>
      <c r="B94" s="7">
        <v>46248</v>
      </c>
      <c r="C94" t="s">
        <v>20</v>
      </c>
      <c r="D94" t="s">
        <v>44</v>
      </c>
      <c r="E94" t="s">
        <v>46</v>
      </c>
      <c r="F94" t="s">
        <v>47</v>
      </c>
      <c r="G94">
        <v>2</v>
      </c>
      <c r="H94" s="8">
        <v>59</v>
      </c>
      <c r="I94" s="21">
        <f t="shared" si="1"/>
        <v>118</v>
      </c>
    </row>
    <row r="95" spans="1:9" x14ac:dyDescent="0.35">
      <c r="A95" t="s">
        <v>142</v>
      </c>
      <c r="B95" s="7">
        <v>46256</v>
      </c>
      <c r="C95" t="s">
        <v>17</v>
      </c>
      <c r="D95" t="s">
        <v>38</v>
      </c>
      <c r="E95" t="s">
        <v>63</v>
      </c>
      <c r="F95" t="s">
        <v>36</v>
      </c>
      <c r="G95">
        <v>4</v>
      </c>
      <c r="H95" s="8">
        <v>89</v>
      </c>
      <c r="I95" s="21">
        <f t="shared" si="1"/>
        <v>356</v>
      </c>
    </row>
    <row r="96" spans="1:9" x14ac:dyDescent="0.35">
      <c r="A96" t="s">
        <v>143</v>
      </c>
      <c r="B96" s="7">
        <v>46256</v>
      </c>
      <c r="C96" t="s">
        <v>15</v>
      </c>
      <c r="D96" t="s">
        <v>49</v>
      </c>
      <c r="E96" t="s">
        <v>63</v>
      </c>
      <c r="F96" t="s">
        <v>36</v>
      </c>
      <c r="G96">
        <v>2</v>
      </c>
      <c r="H96" s="8">
        <v>89</v>
      </c>
      <c r="I96" s="21">
        <f t="shared" si="1"/>
        <v>178</v>
      </c>
    </row>
    <row r="97" spans="1:9" x14ac:dyDescent="0.35">
      <c r="A97" t="s">
        <v>144</v>
      </c>
      <c r="B97" s="7">
        <v>46261</v>
      </c>
      <c r="C97" t="s">
        <v>17</v>
      </c>
      <c r="D97" t="s">
        <v>49</v>
      </c>
      <c r="E97" t="s">
        <v>50</v>
      </c>
      <c r="F97" t="s">
        <v>36</v>
      </c>
      <c r="G97">
        <v>1</v>
      </c>
      <c r="H97" s="8">
        <v>109</v>
      </c>
      <c r="I97" s="21">
        <f t="shared" si="1"/>
        <v>109</v>
      </c>
    </row>
  </sheetData>
  <autoFilter ref="A1:I97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B12" sqref="B12"/>
    </sheetView>
  </sheetViews>
  <sheetFormatPr defaultRowHeight="14.5" x14ac:dyDescent="0.35"/>
  <cols>
    <col min="1" max="1" width="26" customWidth="1"/>
    <col min="2" max="2" width="16" customWidth="1"/>
    <col min="3" max="3" width="14" customWidth="1"/>
    <col min="4" max="4" width="16" customWidth="1"/>
  </cols>
  <sheetData>
    <row r="1" spans="1:4" x14ac:dyDescent="0.35">
      <c r="A1" s="9" t="s">
        <v>13</v>
      </c>
      <c r="B1" s="9" t="s">
        <v>30</v>
      </c>
      <c r="C1" s="9" t="s">
        <v>145</v>
      </c>
      <c r="D1" s="9" t="s">
        <v>11</v>
      </c>
    </row>
    <row r="2" spans="1:4" x14ac:dyDescent="0.35">
      <c r="A2" s="22" t="s">
        <v>65</v>
      </c>
      <c r="B2" s="22" t="s">
        <v>36</v>
      </c>
      <c r="C2" s="22">
        <f>SUMIF('Sales Data'!E:E,A2,'Sales Data'!G:G)</f>
        <v>33</v>
      </c>
      <c r="D2" s="23">
        <f>SUMIF('Sales Data'!E:E,A2,'Sales Data'!I:I)</f>
        <v>29667</v>
      </c>
    </row>
    <row r="3" spans="1:4" x14ac:dyDescent="0.35">
      <c r="A3" s="22" t="s">
        <v>35</v>
      </c>
      <c r="B3" s="22" t="s">
        <v>36</v>
      </c>
      <c r="C3" s="22">
        <f>SUMIF('Sales Data'!E:E,A3,'Sales Data'!G:G)</f>
        <v>42</v>
      </c>
      <c r="D3" s="23">
        <f>SUMIF('Sales Data'!E:E,A3,'Sales Data'!I:I)</f>
        <v>5418</v>
      </c>
    </row>
    <row r="4" spans="1:4" x14ac:dyDescent="0.35">
      <c r="A4" s="22" t="s">
        <v>61</v>
      </c>
      <c r="B4" s="22" t="s">
        <v>58</v>
      </c>
      <c r="C4" s="22">
        <f>SUMIF('Sales Data'!E:E,A4,'Sales Data'!G:G)</f>
        <v>27</v>
      </c>
      <c r="D4" s="23">
        <f>SUMIF('Sales Data'!E:E,A4,'Sales Data'!I:I)</f>
        <v>6723</v>
      </c>
    </row>
    <row r="5" spans="1:4" x14ac:dyDescent="0.35">
      <c r="A5" s="22" t="s">
        <v>39</v>
      </c>
      <c r="B5" s="22" t="s">
        <v>36</v>
      </c>
      <c r="C5" s="22">
        <f>SUMIF('Sales Data'!E:E,A5,'Sales Data'!G:G)</f>
        <v>47</v>
      </c>
      <c r="D5" s="23">
        <f>SUMIF('Sales Data'!E:E,A5,'Sales Data'!I:I)</f>
        <v>15463</v>
      </c>
    </row>
    <row r="6" spans="1:4" x14ac:dyDescent="0.35">
      <c r="A6" s="22" t="s">
        <v>46</v>
      </c>
      <c r="B6" s="22" t="s">
        <v>47</v>
      </c>
      <c r="C6" s="22">
        <f>SUMIF('Sales Data'!E:E,A6,'Sales Data'!G:G)</f>
        <v>40</v>
      </c>
      <c r="D6" s="23">
        <f>SUMIF('Sales Data'!E:E,A6,'Sales Data'!I:I)</f>
        <v>2360</v>
      </c>
    </row>
    <row r="7" spans="1:4" x14ac:dyDescent="0.35">
      <c r="A7" s="22" t="s">
        <v>50</v>
      </c>
      <c r="B7" s="22" t="s">
        <v>36</v>
      </c>
      <c r="C7" s="22">
        <f>SUMIF('Sales Data'!E:E,A7,'Sales Data'!G:G)</f>
        <v>36</v>
      </c>
      <c r="D7" s="23">
        <f>SUMIF('Sales Data'!E:E,A7,'Sales Data'!I:I)</f>
        <v>3924</v>
      </c>
    </row>
    <row r="8" spans="1:4" x14ac:dyDescent="0.35">
      <c r="A8" s="22" t="s">
        <v>57</v>
      </c>
      <c r="B8" s="22" t="s">
        <v>58</v>
      </c>
      <c r="C8" s="22">
        <f>SUMIF('Sales Data'!E:E,A8,'Sales Data'!G:G)</f>
        <v>25</v>
      </c>
      <c r="D8" s="23">
        <f>SUMIF('Sales Data'!E:E,A8,'Sales Data'!I:I)</f>
        <v>11225</v>
      </c>
    </row>
    <row r="9" spans="1:4" x14ac:dyDescent="0.35">
      <c r="A9" s="22" t="s">
        <v>63</v>
      </c>
      <c r="B9" s="22" t="s">
        <v>36</v>
      </c>
      <c r="C9" s="22">
        <f>SUMIF('Sales Data'!E:E,A9,'Sales Data'!G:G)</f>
        <v>34</v>
      </c>
      <c r="D9" s="23">
        <f>SUMIF('Sales Data'!E:E,A9,'Sales Data'!I:I)</f>
        <v>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Sales Data</vt:lpstr>
      <vt:lpstr>Product Summary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ISMAIL</cp:lastModifiedBy>
  <dcterms:created xsi:type="dcterms:W3CDTF">2026-08-31T03:45:48Z</dcterms:created>
  <dcterms:modified xsi:type="dcterms:W3CDTF">2026-08-31T04:00:21Z</dcterms:modified>
</cp:coreProperties>
</file>