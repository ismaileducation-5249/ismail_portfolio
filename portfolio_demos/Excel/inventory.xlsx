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 ISMAIL\Desktop\My Portfolio Fiverr\portfolio_demos\"/>
    </mc:Choice>
  </mc:AlternateContent>
  <xr:revisionPtr revIDLastSave="0" documentId="13_ncr:1_{B7D6471B-5996-4F19-9E73-BC1F9E558D39}" xr6:coauthVersionLast="47" xr6:coauthVersionMax="47" xr10:uidLastSave="{00000000-0000-0000-0000-000000000000}"/>
  <bookViews>
    <workbookView xWindow="-110" yWindow="-110" windowWidth="19420" windowHeight="10420" activeTab="2" xr2:uid="{372AC11F-E8D0-4366-9458-FFD0A83B71DD}"/>
  </bookViews>
  <sheets>
    <sheet name="Inventory" sheetId="1" r:id="rId1"/>
    <sheet name="List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C9" i="3"/>
  <c r="C10" i="3"/>
  <c r="C11" i="3"/>
  <c r="C12" i="3"/>
  <c r="C8" i="3"/>
  <c r="B9" i="3"/>
  <c r="B10" i="3"/>
  <c r="B11" i="3"/>
  <c r="B12" i="3"/>
  <c r="B8" i="3"/>
  <c r="E3" i="3"/>
  <c r="B3" i="3"/>
  <c r="I2" i="1"/>
  <c r="H3" i="3" s="1"/>
  <c r="I15" i="1"/>
  <c r="I3" i="1"/>
  <c r="I4" i="1"/>
  <c r="I5" i="1"/>
  <c r="I6" i="1"/>
  <c r="I7" i="1"/>
  <c r="I8" i="1"/>
  <c r="I9" i="1"/>
  <c r="I10" i="1"/>
  <c r="I11" i="1"/>
  <c r="I12" i="1"/>
  <c r="I13" i="1"/>
  <c r="I14" i="1"/>
  <c r="I16" i="1"/>
  <c r="I17" i="1"/>
  <c r="I18" i="1"/>
  <c r="I19" i="1"/>
  <c r="H3" i="1"/>
  <c r="H4" i="1"/>
  <c r="D10" i="3" s="1"/>
  <c r="H5" i="1"/>
  <c r="D8" i="3" s="1"/>
  <c r="H6" i="1"/>
  <c r="H7" i="1"/>
  <c r="D11" i="3" s="1"/>
  <c r="H8" i="1"/>
  <c r="D12" i="3" s="1"/>
  <c r="H9" i="1"/>
  <c r="H10" i="1"/>
  <c r="H11" i="1"/>
  <c r="H12" i="1"/>
  <c r="H13" i="1"/>
  <c r="H14" i="1"/>
  <c r="H15" i="1"/>
  <c r="H16" i="1"/>
  <c r="H17" i="1"/>
  <c r="H18" i="1"/>
  <c r="H19" i="1"/>
  <c r="H2" i="1"/>
  <c r="N3" i="3" l="1"/>
  <c r="K3" i="3"/>
</calcChain>
</file>

<file path=xl/sharedStrings.xml><?xml version="1.0" encoding="utf-8"?>
<sst xmlns="http://schemas.openxmlformats.org/spreadsheetml/2006/main" count="97" uniqueCount="64">
  <si>
    <t>Product ID</t>
  </si>
  <si>
    <t>Product Name</t>
  </si>
  <si>
    <t>Category</t>
  </si>
  <si>
    <t>Supplier</t>
  </si>
  <si>
    <t>Unit Price</t>
  </si>
  <si>
    <t>Stock Qty</t>
  </si>
  <si>
    <t>Reorder Level</t>
  </si>
  <si>
    <t>Stock Value</t>
  </si>
  <si>
    <t>Status</t>
  </si>
  <si>
    <t>Last Updated</t>
  </si>
  <si>
    <t>P-1001</t>
  </si>
  <si>
    <t>P-1002</t>
  </si>
  <si>
    <t>P-1003</t>
  </si>
  <si>
    <t>P-1004</t>
  </si>
  <si>
    <t>P-1005</t>
  </si>
  <si>
    <t>P-1006</t>
  </si>
  <si>
    <t>P-1007</t>
  </si>
  <si>
    <t>P-1008</t>
  </si>
  <si>
    <t>P-1009</t>
  </si>
  <si>
    <t>P-1010</t>
  </si>
  <si>
    <t>USB-C Hub</t>
  </si>
  <si>
    <t>Webcam HD</t>
  </si>
  <si>
    <t>Wireless Mouse</t>
  </si>
  <si>
    <t>Accessories</t>
  </si>
  <si>
    <t>TechWorld</t>
  </si>
  <si>
    <t>Mechanical Keyboard</t>
  </si>
  <si>
    <t>Prime Supplies</t>
  </si>
  <si>
    <t>Laptop Stand</t>
  </si>
  <si>
    <t>Office</t>
  </si>
  <si>
    <t>OfficeHub</t>
  </si>
  <si>
    <t>Electronics</t>
  </si>
  <si>
    <t>DigitalMart</t>
  </si>
  <si>
    <t>Office Chair</t>
  </si>
  <si>
    <t>Furniture</t>
  </si>
  <si>
    <t>Wi-Fi Router</t>
  </si>
  <si>
    <t>Networking</t>
  </si>
  <si>
    <t>Global Traders</t>
  </si>
  <si>
    <t>Desk Lamp</t>
  </si>
  <si>
    <t>Bluetooth Speaker</t>
  </si>
  <si>
    <t>External SSD 1TB</t>
  </si>
  <si>
    <t>P-1011</t>
  </si>
  <si>
    <t>Monitor 24-inch</t>
  </si>
  <si>
    <t>P-1012</t>
  </si>
  <si>
    <t>Keyboard Wrist Rest</t>
  </si>
  <si>
    <t>P-1013</t>
  </si>
  <si>
    <t>Power Strip</t>
  </si>
  <si>
    <t>P-1014</t>
  </si>
  <si>
    <t>Filing Cabinet</t>
  </si>
  <si>
    <t>P-1015</t>
  </si>
  <si>
    <t>HDMI Cable</t>
  </si>
  <si>
    <t>P-1016</t>
  </si>
  <si>
    <t>USB Flash Drive 64GB</t>
  </si>
  <si>
    <t>P-1017</t>
  </si>
  <si>
    <t>Desk Organizer</t>
  </si>
  <si>
    <t>P-1018</t>
  </si>
  <si>
    <t>Ethernet Cable</t>
  </si>
  <si>
    <t>INVENTORY MANAGEMENT DASHBOARD</t>
  </si>
  <si>
    <t>Total Products</t>
  </si>
  <si>
    <t>Total Inventory Value</t>
  </si>
  <si>
    <t>Low Stock</t>
  </si>
  <si>
    <t>Out of Stock</t>
  </si>
  <si>
    <t>In Stock</t>
  </si>
  <si>
    <t>Products</t>
  </si>
  <si>
    <t>Inventory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</si>
</sst>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5" fontId="0" fillId="3" borderId="1" xfId="0" applyNumberFormat="1" applyFill="1" applyBorder="1"/>
    <xf numFmtId="0" fontId="0" fillId="0" borderId="1" xfId="0" applyBorder="1" applyAlignment="1">
      <alignment horizontal="right" vertical="center" wrapText="1"/>
    </xf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right" vertical="center" wrapText="1"/>
    </xf>
    <xf numFmtId="0" fontId="2" fillId="9" borderId="2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</cellXfs>
  <cellStyles count="1">
    <cellStyle name="Normal" xfId="0" builtinId="0"/>
  </cellStyles>
  <dxfs count="6"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0000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Inventory Category By Value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5961111111111118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Dashboard!$D$7</c:f>
              <c:strCache>
                <c:ptCount val="1"/>
                <c:pt idx="0">
                  <c:v>Inventory Value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Dashboard!$A$8:$A$12</c:f>
              <c:strCache>
                <c:ptCount val="5"/>
                <c:pt idx="0">
                  <c:v>Electronics</c:v>
                </c:pt>
                <c:pt idx="1">
                  <c:v>Accessories</c:v>
                </c:pt>
                <c:pt idx="2">
                  <c:v>Office</c:v>
                </c:pt>
                <c:pt idx="3">
                  <c:v>Furniture</c:v>
                </c:pt>
                <c:pt idx="4">
                  <c:v>Networking</c:v>
                </c:pt>
              </c:strCache>
            </c:strRef>
          </c:cat>
          <c:val>
            <c:numRef>
              <c:f>Dashboard!$D$8:$D$12</c:f>
              <c:numCache>
                <c:formatCode>General</c:formatCode>
                <c:ptCount val="5"/>
                <c:pt idx="0">
                  <c:v>3363</c:v>
                </c:pt>
                <c:pt idx="1">
                  <c:v>2715</c:v>
                </c:pt>
                <c:pt idx="2">
                  <c:v>1220</c:v>
                </c:pt>
                <c:pt idx="3">
                  <c:v>2030</c:v>
                </c:pt>
                <c:pt idx="4">
                  <c:v>1276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C-4624-A832-FB10D16F6B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2787103"/>
        <c:axId val="13026056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Dashboard!$B$7</c15:sqref>
                        </c15:formulaRef>
                      </c:ext>
                    </c:extLst>
                    <c:strCache>
                      <c:ptCount val="1"/>
                      <c:pt idx="0">
                        <c:v>Products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Dashboard!$A$8:$A$12</c15:sqref>
                        </c15:formulaRef>
                      </c:ext>
                    </c:extLst>
                    <c:strCache>
                      <c:ptCount val="5"/>
                      <c:pt idx="0">
                        <c:v>Electronics</c:v>
                      </c:pt>
                      <c:pt idx="1">
                        <c:v>Accessories</c:v>
                      </c:pt>
                      <c:pt idx="2">
                        <c:v>Office</c:v>
                      </c:pt>
                      <c:pt idx="3">
                        <c:v>Furniture</c:v>
                      </c:pt>
                      <c:pt idx="4">
                        <c:v>Networking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Dashboard!$B$8:$B$12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</c:v>
                      </c:pt>
                      <c:pt idx="1">
                        <c:v>5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F2C-4624-A832-FB10D16F6BD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Dashboard!$C$7</c15:sqref>
                        </c15:formulaRef>
                      </c:ext>
                    </c:extLst>
                    <c:strCache>
                      <c:ptCount val="1"/>
                      <c:pt idx="0">
                        <c:v>Stock Qty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3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3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3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Dashboard!$A$8:$A$12</c15:sqref>
                        </c15:formulaRef>
                      </c:ext>
                    </c:extLst>
                    <c:strCache>
                      <c:ptCount val="5"/>
                      <c:pt idx="0">
                        <c:v>Electronics</c:v>
                      </c:pt>
                      <c:pt idx="1">
                        <c:v>Accessories</c:v>
                      </c:pt>
                      <c:pt idx="2">
                        <c:v>Office</c:v>
                      </c:pt>
                      <c:pt idx="3">
                        <c:v>Furniture</c:v>
                      </c:pt>
                      <c:pt idx="4">
                        <c:v>Networking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Dashboard!$C$8:$C$12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60</c:v>
                      </c:pt>
                      <c:pt idx="1">
                        <c:v>157</c:v>
                      </c:pt>
                      <c:pt idx="2">
                        <c:v>51</c:v>
                      </c:pt>
                      <c:pt idx="3">
                        <c:v>14</c:v>
                      </c:pt>
                      <c:pt idx="4">
                        <c:v>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F2C-4624-A832-FB10D16F6BDC}"/>
                  </c:ext>
                </c:extLst>
              </c15:ser>
            </c15:filteredBarSeries>
          </c:ext>
        </c:extLst>
      </c:barChart>
      <c:catAx>
        <c:axId val="130278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605647"/>
        <c:crosses val="autoZero"/>
        <c:auto val="1"/>
        <c:lblAlgn val="ctr"/>
        <c:lblOffset val="100"/>
        <c:noMultiLvlLbl val="0"/>
      </c:catAx>
      <c:valAx>
        <c:axId val="130260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78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479425</xdr:colOff>
      <xdr:row>4</xdr:row>
      <xdr:rowOff>88900</xdr:rowOff>
    </xdr:from>
    <xdr:to>
      <xdr:col>14</xdr:col>
      <xdr:colOff>3175</xdr:colOff>
      <xdr:row>18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BC15E0-C9C2-491D-9186-5956E2692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EA50-ABE8-4D12-809C-D43B243CF670}">
  <dimension ref="A1:J19"/>
  <sheetViews>
    <sheetView workbookViewId="0">
      <selection activeCell="K3" sqref="K3"/>
    </sheetView>
  </sheetViews>
  <sheetFormatPr defaultRowHeight="14.5" x14ac:dyDescent="0.35"/>
  <cols>
    <col min="1" max="1" width="9.54296875" bestFit="1" customWidth="1"/>
    <col min="2" max="2" width="18.81640625" bestFit="1" customWidth="1"/>
    <col min="3" max="3" width="10.36328125" bestFit="1" customWidth="1"/>
    <col min="4" max="4" width="13.08984375" bestFit="1" customWidth="1"/>
    <col min="5" max="5" width="8.90625" bestFit="1" customWidth="1"/>
    <col min="6" max="6" width="8.81640625" bestFit="1" customWidth="1"/>
    <col min="7" max="7" width="12.1796875" bestFit="1" customWidth="1"/>
    <col min="8" max="8" width="10.54296875" bestFit="1" customWidth="1"/>
    <col min="9" max="9" width="10.90625" bestFit="1" customWidth="1"/>
    <col min="10" max="10" width="11.7265625" bestFit="1" customWidth="1"/>
  </cols>
  <sheetData>
    <row r="1" spans="1:10" ht="20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4" t="s">
        <v>10</v>
      </c>
      <c r="B2" s="4" t="s">
        <v>22</v>
      </c>
      <c r="C2" s="4" t="s">
        <v>23</v>
      </c>
      <c r="D2" s="4" t="s">
        <v>24</v>
      </c>
      <c r="E2" s="4">
        <v>18</v>
      </c>
      <c r="F2" s="4">
        <v>42</v>
      </c>
      <c r="G2" s="4">
        <v>15</v>
      </c>
      <c r="H2" s="5">
        <f>E2*F2</f>
        <v>756</v>
      </c>
      <c r="I2" s="5" t="str">
        <f>IF(F2=0,"Out of Stock",IF(F2&lt;=G2,"Low Stock","In Stock"))</f>
        <v>In Stock</v>
      </c>
      <c r="J2" s="6">
        <v>46105</v>
      </c>
    </row>
    <row r="3" spans="1:10" x14ac:dyDescent="0.35">
      <c r="A3" s="4" t="s">
        <v>11</v>
      </c>
      <c r="B3" s="4" t="s">
        <v>25</v>
      </c>
      <c r="C3" s="4" t="s">
        <v>23</v>
      </c>
      <c r="D3" s="4" t="s">
        <v>26</v>
      </c>
      <c r="E3" s="4">
        <v>55</v>
      </c>
      <c r="F3" s="4">
        <v>18</v>
      </c>
      <c r="G3" s="4">
        <v>10</v>
      </c>
      <c r="H3" s="5">
        <f t="shared" ref="H3:H19" si="0">E3*F3</f>
        <v>990</v>
      </c>
      <c r="I3" s="5" t="str">
        <f t="shared" ref="I3:I19" si="1">IF(F3=0,"Out of Stock",IF(F3&lt;=G3,"Low Stock","In Stock"))</f>
        <v>In Stock</v>
      </c>
      <c r="J3" s="6">
        <v>46106</v>
      </c>
    </row>
    <row r="4" spans="1:10" x14ac:dyDescent="0.35">
      <c r="A4" s="4" t="s">
        <v>12</v>
      </c>
      <c r="B4" s="4" t="s">
        <v>27</v>
      </c>
      <c r="C4" s="4" t="s">
        <v>28</v>
      </c>
      <c r="D4" s="4" t="s">
        <v>29</v>
      </c>
      <c r="E4" s="4">
        <v>32</v>
      </c>
      <c r="F4" s="4">
        <v>7</v>
      </c>
      <c r="G4" s="4">
        <v>10</v>
      </c>
      <c r="H4" s="5">
        <f t="shared" si="0"/>
        <v>224</v>
      </c>
      <c r="I4" s="5" t="str">
        <f t="shared" si="1"/>
        <v>Low Stock</v>
      </c>
      <c r="J4" s="6">
        <v>46107</v>
      </c>
    </row>
    <row r="5" spans="1:10" x14ac:dyDescent="0.35">
      <c r="A5" s="4" t="s">
        <v>13</v>
      </c>
      <c r="B5" s="4" t="s">
        <v>20</v>
      </c>
      <c r="C5" s="4" t="s">
        <v>30</v>
      </c>
      <c r="D5" s="4" t="s">
        <v>31</v>
      </c>
      <c r="E5" s="4">
        <v>28</v>
      </c>
      <c r="F5" s="4">
        <v>24</v>
      </c>
      <c r="G5" s="4">
        <v>12</v>
      </c>
      <c r="H5" s="5">
        <f t="shared" si="0"/>
        <v>672</v>
      </c>
      <c r="I5" s="5" t="str">
        <f t="shared" si="1"/>
        <v>In Stock</v>
      </c>
      <c r="J5" s="6">
        <v>46108</v>
      </c>
    </row>
    <row r="6" spans="1:10" x14ac:dyDescent="0.35">
      <c r="A6" s="4" t="s">
        <v>14</v>
      </c>
      <c r="B6" s="4" t="s">
        <v>21</v>
      </c>
      <c r="C6" s="4" t="s">
        <v>30</v>
      </c>
      <c r="D6" s="4" t="s">
        <v>24</v>
      </c>
      <c r="E6" s="4">
        <v>45</v>
      </c>
      <c r="F6" s="4">
        <v>5</v>
      </c>
      <c r="G6" s="4">
        <v>8</v>
      </c>
      <c r="H6" s="5">
        <f t="shared" si="0"/>
        <v>225</v>
      </c>
      <c r="I6" s="5" t="str">
        <f t="shared" si="1"/>
        <v>Low Stock</v>
      </c>
      <c r="J6" s="6">
        <v>46109</v>
      </c>
    </row>
    <row r="7" spans="1:10" x14ac:dyDescent="0.35">
      <c r="A7" s="4" t="s">
        <v>15</v>
      </c>
      <c r="B7" s="4" t="s">
        <v>32</v>
      </c>
      <c r="C7" s="4" t="s">
        <v>33</v>
      </c>
      <c r="D7" s="4" t="s">
        <v>29</v>
      </c>
      <c r="E7" s="4">
        <v>145</v>
      </c>
      <c r="F7" s="4">
        <v>14</v>
      </c>
      <c r="G7" s="4">
        <v>5</v>
      </c>
      <c r="H7" s="5">
        <f t="shared" si="0"/>
        <v>2030</v>
      </c>
      <c r="I7" s="5" t="str">
        <f t="shared" si="1"/>
        <v>In Stock</v>
      </c>
      <c r="J7" s="6">
        <v>46110</v>
      </c>
    </row>
    <row r="8" spans="1:10" x14ac:dyDescent="0.35">
      <c r="A8" s="4" t="s">
        <v>16</v>
      </c>
      <c r="B8" s="4" t="s">
        <v>34</v>
      </c>
      <c r="C8" s="4" t="s">
        <v>35</v>
      </c>
      <c r="D8" s="4" t="s">
        <v>36</v>
      </c>
      <c r="E8" s="4">
        <v>62</v>
      </c>
      <c r="F8" s="4">
        <v>3</v>
      </c>
      <c r="G8" s="4">
        <v>6</v>
      </c>
      <c r="H8" s="5">
        <f t="shared" si="0"/>
        <v>186</v>
      </c>
      <c r="I8" s="5" t="str">
        <f t="shared" si="1"/>
        <v>Low Stock</v>
      </c>
      <c r="J8" s="6">
        <v>46111</v>
      </c>
    </row>
    <row r="9" spans="1:10" x14ac:dyDescent="0.35">
      <c r="A9" s="4" t="s">
        <v>17</v>
      </c>
      <c r="B9" s="4" t="s">
        <v>37</v>
      </c>
      <c r="C9" s="4" t="s">
        <v>28</v>
      </c>
      <c r="D9" s="4" t="s">
        <v>29</v>
      </c>
      <c r="E9" s="4">
        <v>25</v>
      </c>
      <c r="F9" s="4">
        <v>31</v>
      </c>
      <c r="G9" s="4">
        <v>12</v>
      </c>
      <c r="H9" s="5">
        <f t="shared" si="0"/>
        <v>775</v>
      </c>
      <c r="I9" s="5" t="str">
        <f t="shared" si="1"/>
        <v>In Stock</v>
      </c>
      <c r="J9" s="6">
        <v>46112</v>
      </c>
    </row>
    <row r="10" spans="1:10" x14ac:dyDescent="0.35">
      <c r="A10" s="4" t="s">
        <v>18</v>
      </c>
      <c r="B10" s="4" t="s">
        <v>38</v>
      </c>
      <c r="C10" s="4" t="s">
        <v>30</v>
      </c>
      <c r="D10" s="4" t="s">
        <v>31</v>
      </c>
      <c r="E10" s="4">
        <v>39</v>
      </c>
      <c r="F10" s="4">
        <v>16</v>
      </c>
      <c r="G10" s="4">
        <v>8</v>
      </c>
      <c r="H10" s="5">
        <f t="shared" si="0"/>
        <v>624</v>
      </c>
      <c r="I10" s="5" t="str">
        <f t="shared" si="1"/>
        <v>In Stock</v>
      </c>
      <c r="J10" s="6">
        <v>46113</v>
      </c>
    </row>
    <row r="11" spans="1:10" x14ac:dyDescent="0.35">
      <c r="A11" s="4" t="s">
        <v>19</v>
      </c>
      <c r="B11" s="4" t="s">
        <v>39</v>
      </c>
      <c r="C11" s="4" t="s">
        <v>30</v>
      </c>
      <c r="D11" s="4" t="s">
        <v>26</v>
      </c>
      <c r="E11" s="4">
        <v>88</v>
      </c>
      <c r="F11" s="4">
        <v>9</v>
      </c>
      <c r="G11" s="4">
        <v>6</v>
      </c>
      <c r="H11" s="5">
        <f t="shared" si="0"/>
        <v>792</v>
      </c>
      <c r="I11" s="5" t="str">
        <f t="shared" si="1"/>
        <v>In Stock</v>
      </c>
      <c r="J11" s="6">
        <v>46114</v>
      </c>
    </row>
    <row r="12" spans="1:10" x14ac:dyDescent="0.35">
      <c r="A12" s="4" t="s">
        <v>40</v>
      </c>
      <c r="B12" s="4" t="s">
        <v>41</v>
      </c>
      <c r="C12" s="4" t="s">
        <v>30</v>
      </c>
      <c r="D12" s="4" t="s">
        <v>24</v>
      </c>
      <c r="E12" s="4">
        <v>175</v>
      </c>
      <c r="F12" s="4">
        <v>6</v>
      </c>
      <c r="G12" s="4">
        <v>5</v>
      </c>
      <c r="H12" s="5">
        <f t="shared" si="0"/>
        <v>1050</v>
      </c>
      <c r="I12" s="5" t="str">
        <f t="shared" si="1"/>
        <v>In Stock</v>
      </c>
      <c r="J12" s="6">
        <v>46115</v>
      </c>
    </row>
    <row r="13" spans="1:10" x14ac:dyDescent="0.35">
      <c r="A13" s="4" t="s">
        <v>42</v>
      </c>
      <c r="B13" s="4" t="s">
        <v>43</v>
      </c>
      <c r="C13" s="4" t="s">
        <v>23</v>
      </c>
      <c r="D13" s="4" t="s">
        <v>26</v>
      </c>
      <c r="E13" s="4">
        <v>14</v>
      </c>
      <c r="F13" s="4">
        <v>4</v>
      </c>
      <c r="G13" s="4">
        <v>8</v>
      </c>
      <c r="H13" s="5">
        <f t="shared" si="0"/>
        <v>56</v>
      </c>
      <c r="I13" s="5" t="str">
        <f t="shared" si="1"/>
        <v>Low Stock</v>
      </c>
      <c r="J13" s="6">
        <v>46116</v>
      </c>
    </row>
    <row r="14" spans="1:10" x14ac:dyDescent="0.35">
      <c r="A14" s="4" t="s">
        <v>44</v>
      </c>
      <c r="B14" s="4" t="s">
        <v>45</v>
      </c>
      <c r="C14" s="4" t="s">
        <v>35</v>
      </c>
      <c r="D14" s="4" t="s">
        <v>36</v>
      </c>
      <c r="E14" s="4">
        <v>22</v>
      </c>
      <c r="F14" s="4">
        <v>27</v>
      </c>
      <c r="G14" s="4">
        <v>10</v>
      </c>
      <c r="H14" s="5">
        <f t="shared" si="0"/>
        <v>594</v>
      </c>
      <c r="I14" s="5" t="str">
        <f t="shared" si="1"/>
        <v>In Stock</v>
      </c>
      <c r="J14" s="6">
        <v>46117</v>
      </c>
    </row>
    <row r="15" spans="1:10" x14ac:dyDescent="0.35">
      <c r="A15" s="4" t="s">
        <v>46</v>
      </c>
      <c r="B15" s="4" t="s">
        <v>47</v>
      </c>
      <c r="C15" s="4" t="s">
        <v>33</v>
      </c>
      <c r="D15" s="4" t="s">
        <v>29</v>
      </c>
      <c r="E15" s="4">
        <v>120</v>
      </c>
      <c r="F15" s="4">
        <v>0</v>
      </c>
      <c r="G15" s="4">
        <v>4</v>
      </c>
      <c r="H15" s="5">
        <f t="shared" si="0"/>
        <v>0</v>
      </c>
      <c r="I15" s="5" t="str">
        <f>IF(F15=0,"Out of Stock",IF(F15&lt;=G15,"Low Stock","In Stock"))</f>
        <v>Out of Stock</v>
      </c>
      <c r="J15" s="6">
        <v>46118</v>
      </c>
    </row>
    <row r="16" spans="1:10" x14ac:dyDescent="0.35">
      <c r="A16" s="4" t="s">
        <v>48</v>
      </c>
      <c r="B16" s="4" t="s">
        <v>49</v>
      </c>
      <c r="C16" s="4" t="s">
        <v>23</v>
      </c>
      <c r="D16" s="4" t="s">
        <v>31</v>
      </c>
      <c r="E16" s="4">
        <v>9</v>
      </c>
      <c r="F16" s="4">
        <v>55</v>
      </c>
      <c r="G16" s="4">
        <v>20</v>
      </c>
      <c r="H16" s="5">
        <f t="shared" si="0"/>
        <v>495</v>
      </c>
      <c r="I16" s="5" t="str">
        <f t="shared" si="1"/>
        <v>In Stock</v>
      </c>
      <c r="J16" s="6">
        <v>46119</v>
      </c>
    </row>
    <row r="17" spans="1:10" x14ac:dyDescent="0.35">
      <c r="A17" s="4" t="s">
        <v>50</v>
      </c>
      <c r="B17" s="4" t="s">
        <v>51</v>
      </c>
      <c r="C17" s="4" t="s">
        <v>23</v>
      </c>
      <c r="D17" s="4" t="s">
        <v>24</v>
      </c>
      <c r="E17" s="4">
        <v>11</v>
      </c>
      <c r="F17" s="4">
        <v>38</v>
      </c>
      <c r="G17" s="4">
        <v>15</v>
      </c>
      <c r="H17" s="5">
        <f t="shared" si="0"/>
        <v>418</v>
      </c>
      <c r="I17" s="5" t="str">
        <f t="shared" si="1"/>
        <v>In Stock</v>
      </c>
      <c r="J17" s="6">
        <v>46120</v>
      </c>
    </row>
    <row r="18" spans="1:10" x14ac:dyDescent="0.35">
      <c r="A18" s="4" t="s">
        <v>52</v>
      </c>
      <c r="B18" s="4" t="s">
        <v>53</v>
      </c>
      <c r="C18" s="4" t="s">
        <v>28</v>
      </c>
      <c r="D18" s="4" t="s">
        <v>29</v>
      </c>
      <c r="E18" s="4">
        <v>17</v>
      </c>
      <c r="F18" s="4">
        <v>13</v>
      </c>
      <c r="G18" s="4">
        <v>8</v>
      </c>
      <c r="H18" s="5">
        <f t="shared" si="0"/>
        <v>221</v>
      </c>
      <c r="I18" s="5" t="str">
        <f t="shared" si="1"/>
        <v>In Stock</v>
      </c>
      <c r="J18" s="6">
        <v>46121</v>
      </c>
    </row>
    <row r="19" spans="1:10" x14ac:dyDescent="0.35">
      <c r="A19" s="4" t="s">
        <v>54</v>
      </c>
      <c r="B19" s="4" t="s">
        <v>55</v>
      </c>
      <c r="C19" s="4" t="s">
        <v>35</v>
      </c>
      <c r="D19" s="4" t="s">
        <v>36</v>
      </c>
      <c r="E19" s="4">
        <v>8</v>
      </c>
      <c r="F19" s="4">
        <v>62</v>
      </c>
      <c r="G19" s="4">
        <v>25</v>
      </c>
      <c r="H19" s="5">
        <f t="shared" si="0"/>
        <v>496</v>
      </c>
      <c r="I19" s="5" t="str">
        <f t="shared" si="1"/>
        <v>In Stock</v>
      </c>
      <c r="J19" s="6">
        <v>46122</v>
      </c>
    </row>
  </sheetData>
  <conditionalFormatting sqref="I2:I19">
    <cfRule type="containsText" dxfId="5" priority="1" operator="containsText" text="Low">
      <formula>NOT(ISERROR(SEARCH("Low",I2)))</formula>
    </cfRule>
    <cfRule type="cellIs" dxfId="4" priority="2" operator="equal">
      <formula>"Low"</formula>
    </cfRule>
    <cfRule type="containsText" dxfId="3" priority="4" operator="containsText" text="Out">
      <formula>NOT(ISERROR(SEARCH("Out",I2)))</formula>
    </cfRule>
    <cfRule type="containsText" dxfId="2" priority="5" operator="containsText" text="Low Stock">
      <formula>NOT(ISERROR(SEARCH("Low Stock",I2)))</formula>
    </cfRule>
    <cfRule type="containsText" dxfId="1" priority="6" operator="containsText" text="In Stock">
      <formula>NOT(ISERROR(SEARCH("In Stock",I2)))</formula>
    </cfRule>
  </conditionalFormatting>
  <conditionalFormatting sqref="I15">
    <cfRule type="containsText" dxfId="0" priority="3" operator="containsText" text="Out">
      <formula>NOT(ISERROR(SEARCH("Out",I15)))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A3E6-FA5C-4AE9-966E-B87B5D0BE4E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89CC-0B95-4EEE-A953-D34206BFA25E}">
  <dimension ref="A1:N12"/>
  <sheetViews>
    <sheetView tabSelected="1" workbookViewId="0">
      <selection activeCell="D8" sqref="D8"/>
    </sheetView>
  </sheetViews>
  <sheetFormatPr defaultRowHeight="14.5" x14ac:dyDescent="0.35"/>
  <cols>
    <col min="1" max="1" width="22.453125" customWidth="1"/>
    <col min="4" max="4" width="18.7265625" bestFit="1" customWidth="1"/>
    <col min="7" max="7" width="9" bestFit="1" customWidth="1"/>
    <col min="10" max="10" width="10.90625" bestFit="1" customWidth="1"/>
  </cols>
  <sheetData>
    <row r="1" spans="1:14" ht="18.5" x14ac:dyDescent="0.45">
      <c r="A1" s="15" t="s">
        <v>56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3" spans="1:14" x14ac:dyDescent="0.35">
      <c r="A3" s="8" t="s">
        <v>57</v>
      </c>
      <c r="B3" s="4">
        <f>COUNTA(Inventory!B2:B19)</f>
        <v>18</v>
      </c>
      <c r="C3" s="4"/>
      <c r="D3" s="12" t="s">
        <v>58</v>
      </c>
      <c r="E3" s="4">
        <f>SUM(Inventory!H2:H19)</f>
        <v>10604</v>
      </c>
      <c r="F3" s="4"/>
      <c r="G3" s="9" t="s">
        <v>59</v>
      </c>
      <c r="H3" s="4">
        <f>COUNTIF(Inventory!I2:I19,"Low Stock")</f>
        <v>4</v>
      </c>
      <c r="I3" s="4"/>
      <c r="J3" s="10" t="s">
        <v>60</v>
      </c>
      <c r="K3" s="4">
        <f>COUNTIF(Inventory!I2:I19,"Out of Stock")</f>
        <v>1</v>
      </c>
      <c r="L3" s="4"/>
      <c r="M3" s="11" t="s">
        <v>61</v>
      </c>
      <c r="N3" s="4">
        <f>COUNTIF(Inventory!I2:I19,"In Stock")</f>
        <v>13</v>
      </c>
    </row>
    <row r="7" spans="1:14" ht="29" x14ac:dyDescent="0.35">
      <c r="A7" s="13" t="s">
        <v>2</v>
      </c>
      <c r="B7" s="14" t="s">
        <v>62</v>
      </c>
      <c r="C7" s="14" t="s">
        <v>5</v>
      </c>
      <c r="D7" s="14" t="s">
        <v>63</v>
      </c>
    </row>
    <row r="8" spans="1:14" x14ac:dyDescent="0.35">
      <c r="A8" s="3" t="s">
        <v>30</v>
      </c>
      <c r="B8" s="7">
        <f>COUNTIF(Inventory!C:C,A8)</f>
        <v>5</v>
      </c>
      <c r="C8" s="7">
        <f>SUMIF(Inventory!C:C,A8,Inventory!F:F)</f>
        <v>60</v>
      </c>
      <c r="D8" s="7">
        <f>SUMIF(Inventory!C:C,A8,Inventory!H:H)</f>
        <v>3363</v>
      </c>
    </row>
    <row r="9" spans="1:14" x14ac:dyDescent="0.35">
      <c r="A9" s="3" t="s">
        <v>23</v>
      </c>
      <c r="B9" s="7">
        <f>COUNTIF(Inventory!C:C,A9)</f>
        <v>5</v>
      </c>
      <c r="C9" s="7">
        <f>SUMIF(Inventory!C:C,A9,Inventory!F:F)</f>
        <v>157</v>
      </c>
      <c r="D9" s="7">
        <f>SUMIF(Inventory!C:C,A9,Inventory!H:H)</f>
        <v>2715</v>
      </c>
    </row>
    <row r="10" spans="1:14" x14ac:dyDescent="0.35">
      <c r="A10" s="3" t="s">
        <v>28</v>
      </c>
      <c r="B10" s="7">
        <f>COUNTIF(Inventory!C:C,A10)</f>
        <v>3</v>
      </c>
      <c r="C10" s="7">
        <f>SUMIF(Inventory!C:C,A10,Inventory!F:F)</f>
        <v>51</v>
      </c>
      <c r="D10" s="7">
        <f>SUMIF(Inventory!C:C,A10,Inventory!H:H)</f>
        <v>1220</v>
      </c>
    </row>
    <row r="11" spans="1:14" x14ac:dyDescent="0.35">
      <c r="A11" s="3" t="s">
        <v>33</v>
      </c>
      <c r="B11" s="7">
        <f>COUNTIF(Inventory!C:C,A11)</f>
        <v>2</v>
      </c>
      <c r="C11" s="7">
        <f>SUMIF(Inventory!C:C,A11,Inventory!F:F)</f>
        <v>14</v>
      </c>
      <c r="D11" s="7">
        <f>SUMIF(Inventory!C:C,A11,Inventory!H:H)</f>
        <v>2030</v>
      </c>
    </row>
    <row r="12" spans="1:14" x14ac:dyDescent="0.35">
      <c r="A12" s="3" t="s">
        <v>35</v>
      </c>
      <c r="B12" s="7">
        <f>COUNTIF(Inventory!C:C,A12)</f>
        <v>3</v>
      </c>
      <c r="C12" s="7">
        <f>SUMIF(Inventory!C:C,A12,Inventory!F:F)</f>
        <v>92</v>
      </c>
      <c r="D12" s="7">
        <f>SUMIF(Inventory!C:C,A12,Inventory!H:H)</f>
        <v>1276</v>
      </c>
    </row>
  </sheetData>
  <mergeCells count="1"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GIBTEK</dc:creator>
  <cp:lastModifiedBy>M ISMAIL</cp:lastModifiedBy>
  <dcterms:created xsi:type="dcterms:W3CDTF">2026-08-24T16:36:22Z</dcterms:created>
  <dcterms:modified xsi:type="dcterms:W3CDTF">2026-08-31T05:40:50Z</dcterms:modified>
</cp:coreProperties>
</file>